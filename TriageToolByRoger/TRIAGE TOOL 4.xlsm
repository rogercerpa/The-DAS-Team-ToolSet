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theme/theme1.xml" ContentType="application/vnd.openxmlformats-officedocument.theme+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2.xml" ContentType="application/vnd.ms-excel.controlproperties+xml"/>
  <Override PartName="/docProps/core.xml" ContentType="application/vnd.openxmlformats-package.core-properties+xml"/>
  <Override PartName="/xl/calcChain.xml" ContentType="application/vnd.openxmlformats-officedocument.spreadsheetml.calcChain+xml"/>
  <Override PartName="/docProps/app.xml" ContentType="application/vnd.openxmlformats-officedocument.extended-properties+xml"/>
  <Override PartName="/xl/comments1.xml" ContentType="application/vnd.openxmlformats-officedocument.spreadsheetml.comment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Users\axm08\Desktop\"/>
    </mc:Choice>
  </mc:AlternateContent>
  <xr:revisionPtr revIDLastSave="0" documentId="10_ncr:100000_{CAC1C8D2-0F33-4B98-9694-F15D65E0219A}" xr6:coauthVersionLast="31" xr6:coauthVersionMax="31" xr10:uidLastSave="{00000000-0000-0000-0000-000000000000}"/>
  <bookViews>
    <workbookView xWindow="0" yWindow="0" windowWidth="23040" windowHeight="8370" xr2:uid="{00000000-000D-0000-FFFF-FFFF00000000}"/>
  </bookViews>
  <sheets>
    <sheet name="TOOL" sheetId="2" r:id="rId1"/>
    <sheet name="Calculations" sheetId="3" r:id="rId2"/>
    <sheet name="Header Info" sheetId="131" r:id="rId3"/>
  </sheets>
  <definedNames>
    <definedName name="_xlnm._FilterDatabase" localSheetId="1" hidden="1">Calculations!$AA$1:$AD$5</definedName>
    <definedName name="auditLogMenuItem" localSheetId="0">TOOL!$P$77</definedName>
    <definedName name="duplicateRequestMenuItem" localSheetId="0">TOOL!$P$80</definedName>
    <definedName name="messageMarkerMenuItem" localSheetId="0">TOOL!$P$79</definedName>
    <definedName name="pWebMenuItem" localSheetId="0">TOOL!$P$78</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0" i="2" l="1"/>
  <c r="E3" i="2" s="1"/>
  <c r="B7" i="2"/>
  <c r="S11" i="3" l="1"/>
  <c r="B3" i="2" s="1"/>
  <c r="S12" i="3"/>
  <c r="S14" i="3" l="1"/>
  <c r="B5" i="2" s="1"/>
  <c r="S13" i="3" l="1"/>
  <c r="B4" i="2" s="1"/>
  <c r="T13" i="3" l="1"/>
  <c r="T14" i="3"/>
  <c r="AB1" i="3"/>
  <c r="P6" i="3" l="1"/>
  <c r="G9" i="3" l="1"/>
  <c r="E9" i="3"/>
  <c r="K17" i="2" s="1"/>
  <c r="K18" i="2" s="1"/>
  <c r="J18" i="2" s="1"/>
  <c r="C9" i="3"/>
  <c r="CF4" i="3"/>
  <c r="CF5" i="3" s="1"/>
  <c r="CE4" i="3"/>
  <c r="CD4" i="3"/>
  <c r="CC4" i="3"/>
  <c r="BZ4" i="3"/>
  <c r="BZ5" i="3" s="1"/>
  <c r="BY4" i="3"/>
  <c r="BX4" i="3"/>
  <c r="BW4" i="3"/>
  <c r="BT4" i="3"/>
  <c r="BT5" i="3" s="1"/>
  <c r="BS4" i="3"/>
  <c r="BR4" i="3"/>
  <c r="BQ4" i="3"/>
  <c r="BN4" i="3"/>
  <c r="BN5" i="3" s="1"/>
  <c r="BM4" i="3"/>
  <c r="BL4" i="3"/>
  <c r="BK4" i="3"/>
  <c r="BH4" i="3"/>
  <c r="BH5" i="3" s="1"/>
  <c r="BG4" i="3"/>
  <c r="BF4" i="3"/>
  <c r="BE4" i="3"/>
  <c r="BB4" i="3"/>
  <c r="BB5" i="3" s="1"/>
  <c r="BA4" i="3"/>
  <c r="AZ4" i="3"/>
  <c r="AY4" i="3"/>
  <c r="AV4" i="3"/>
  <c r="AV5" i="3" s="1"/>
  <c r="AP4" i="3"/>
  <c r="AP5" i="3" s="1"/>
  <c r="AJ4" i="3"/>
  <c r="AJ5" i="3" s="1"/>
  <c r="AD4" i="3"/>
  <c r="AD5" i="3" s="1"/>
  <c r="AA4" i="3"/>
  <c r="AG4" i="3" s="1"/>
  <c r="AM4" i="3" s="1"/>
  <c r="AS4" i="3" s="1"/>
  <c r="AB2" i="3"/>
  <c r="E30" i="2"/>
  <c r="E29" i="2"/>
  <c r="E27" i="2"/>
  <c r="B25" i="2"/>
  <c r="H24" i="2"/>
  <c r="H23" i="2"/>
  <c r="E21" i="2"/>
  <c r="D21" i="2"/>
  <c r="E20" i="2"/>
  <c r="H17" i="2"/>
  <c r="G17" i="2"/>
  <c r="E17" i="2"/>
  <c r="D17" i="2"/>
  <c r="B17" i="2"/>
  <c r="A17" i="2"/>
  <c r="J16" i="2"/>
  <c r="H16" i="2"/>
  <c r="E16" i="2"/>
  <c r="D16" i="2"/>
  <c r="B16" i="2"/>
  <c r="A16" i="2"/>
  <c r="H18" i="2" l="1"/>
  <c r="D19" i="2"/>
  <c r="J17" i="2"/>
  <c r="E19" i="2"/>
  <c r="H19" i="2"/>
  <c r="H20" i="2" s="1"/>
  <c r="G20" i="2" s="1"/>
  <c r="A19" i="2"/>
  <c r="G19" i="2"/>
  <c r="B19" i="2"/>
  <c r="K19" i="2"/>
  <c r="H21" i="2" l="1"/>
  <c r="T15" i="3"/>
  <c r="AC4" i="3" l="1"/>
  <c r="AI4" i="3" s="1"/>
  <c r="AO4" i="3" s="1"/>
  <c r="AU4" i="3" s="1"/>
  <c r="B24" i="2"/>
  <c r="B18" i="2" l="1"/>
  <c r="B21" i="2" s="1"/>
  <c r="A21" i="2" s="1"/>
  <c r="E26" i="2"/>
  <c r="E18" i="2"/>
  <c r="B20" i="2" l="1"/>
  <c r="B22" i="2" s="1"/>
  <c r="E23" i="2"/>
  <c r="D23" i="2" s="1"/>
  <c r="E22" i="2"/>
  <c r="E24" i="2" l="1"/>
  <c r="AT4" i="3"/>
  <c r="Y1" i="3"/>
  <c r="AB4" i="3" s="1"/>
  <c r="AH4" i="3" s="1"/>
  <c r="AN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McManus, Aaron</author>
  </authors>
  <commentList>
    <comment ref="G2" authorId="0" shapeId="0" xr:uid="{00000000-0006-0000-0000-000001000000}">
      <text>
        <r>
          <rPr>
            <sz val="9"/>
            <color indexed="81"/>
            <rFont val="Tahoma"/>
            <family val="2"/>
          </rPr>
          <t xml:space="preserve">Rather than going back and forth on RFA tabs, I typically put all of my triage notes here and copy then to the RFA when I am complete with the triage. </t>
        </r>
      </text>
    </comment>
    <comment ref="M2" authorId="0" shapeId="0" xr:uid="{00000000-0006-0000-0000-000002000000}">
      <text>
        <r>
          <rPr>
            <sz val="9"/>
            <color indexed="81"/>
            <rFont val="Tahoma"/>
            <family val="2"/>
          </rPr>
          <t>Do you have LCP schedules on the contract documents?</t>
        </r>
      </text>
    </comment>
    <comment ref="O2" authorId="0" shapeId="0" xr:uid="{00000000-0006-0000-0000-000003000000}">
      <text>
        <r>
          <rPr>
            <b/>
            <sz val="9"/>
            <color indexed="81"/>
            <rFont val="Tahoma"/>
            <family val="2"/>
          </rPr>
          <t>Number of rooms/zones per sheet</t>
        </r>
      </text>
    </comment>
    <comment ref="E3" authorId="0" shapeId="0" xr:uid="{00000000-0006-0000-0000-000004000000}">
      <text>
        <r>
          <rPr>
            <sz val="9"/>
            <color indexed="81"/>
            <rFont val="Tahoma"/>
            <family val="2"/>
          </rPr>
          <t xml:space="preserve">Total # of Rooms/Zones to be multiplied by the "Room Multiplier"
</t>
        </r>
      </text>
    </comment>
    <comment ref="F3" authorId="0" shapeId="0" xr:uid="{00000000-0006-0000-0000-000005000000}">
      <text>
        <r>
          <rPr>
            <b/>
            <sz val="9"/>
            <color indexed="81"/>
            <rFont val="Tahoma"/>
            <family val="2"/>
          </rPr>
          <t xml:space="preserve">If you prefer to calculate your triage time manually, input number of hours here.  </t>
        </r>
      </text>
    </comment>
    <comment ref="M3" authorId="0" shapeId="0" xr:uid="{00000000-0006-0000-0000-000006000000}">
      <text>
        <r>
          <rPr>
            <sz val="9"/>
            <color indexed="81"/>
            <rFont val="Tahoma"/>
            <family val="2"/>
          </rPr>
          <t xml:space="preserve"># of each type of panel/switch. </t>
        </r>
      </text>
    </comment>
    <comment ref="E4" authorId="0" shapeId="0" xr:uid="{00000000-0006-0000-0000-000007000000}">
      <text>
        <r>
          <rPr>
            <sz val="9"/>
            <color indexed="81"/>
            <rFont val="Tahoma"/>
            <family val="2"/>
          </rPr>
          <t>Time needed per Room/Zone.</t>
        </r>
      </text>
    </comment>
    <comment ref="E5" authorId="0" shapeId="0" xr:uid="{00000000-0006-0000-0000-000008000000}">
      <text>
        <r>
          <rPr>
            <sz val="9"/>
            <color indexed="81"/>
            <rFont val="Tahoma"/>
            <family val="2"/>
          </rPr>
          <t xml:space="preserve">Average time needed for initial review. Needs to be adjusted when # of sheets exceeds templates. </t>
        </r>
      </text>
    </comment>
    <comment ref="E6" authorId="0" shapeId="0" xr:uid="{00000000-0006-0000-0000-000009000000}">
      <text>
        <r>
          <rPr>
            <sz val="9"/>
            <color indexed="81"/>
            <rFont val="Tahoma"/>
            <family val="2"/>
          </rPr>
          <t xml:space="preserve">Time needed to review specifications. </t>
        </r>
      </text>
    </comment>
    <comment ref="B7" authorId="0" shapeId="0" xr:uid="{00000000-0006-0000-0000-00000A000000}">
      <text>
        <r>
          <rPr>
            <b/>
            <sz val="9"/>
            <color indexed="81"/>
            <rFont val="Tahoma"/>
            <family val="2"/>
          </rPr>
          <t>Are you assiging it to the origianl owner?</t>
        </r>
      </text>
    </comment>
    <comment ref="E9" authorId="0" shapeId="0" xr:uid="{00000000-0006-0000-0000-00000B000000}">
      <text>
        <r>
          <rPr>
            <sz val="9"/>
            <color indexed="81"/>
            <rFont val="Tahoma"/>
            <family val="2"/>
          </rPr>
          <t>Number of Fresco/nLight Zones.</t>
        </r>
      </text>
    </comment>
    <comment ref="F9" authorId="0" shapeId="0" xr:uid="{00000000-0006-0000-0000-00000C000000}">
      <text>
        <r>
          <rPr>
            <b/>
            <sz val="9"/>
            <color indexed="81"/>
            <rFont val="Tahoma"/>
            <family val="2"/>
          </rPr>
          <t>If you prefer to calculate your riser time manually, input number of hours here.</t>
        </r>
      </text>
    </comment>
    <comment ref="E10" authorId="0" shapeId="0" xr:uid="{00000000-0006-0000-0000-00000D000000}">
      <text>
        <r>
          <rPr>
            <sz val="9"/>
            <color indexed="81"/>
            <rFont val="Tahoma"/>
            <family val="2"/>
          </rPr>
          <t xml:space="preserve">Time needed per riser. </t>
        </r>
      </text>
    </comment>
    <comment ref="E11" authorId="0" shapeId="0" xr:uid="{00000000-0006-0000-0000-00000E000000}">
      <text>
        <r>
          <rPr>
            <sz val="9"/>
            <color indexed="81"/>
            <rFont val="Tahoma"/>
            <family val="2"/>
          </rPr>
          <t xml:space="preserve">Time needed to create the sequence of operations. </t>
        </r>
      </text>
    </comment>
    <comment ref="O30" authorId="0" shapeId="0" xr:uid="{00000000-0006-0000-0000-00000F000000}">
      <text>
        <r>
          <rPr>
            <sz val="9"/>
            <color indexed="81"/>
            <rFont val="Tahoma"/>
            <family val="2"/>
          </rPr>
          <t xml:space="preserve">Adds all the pages and automatically places the value in the "NUMBER OF ROOMS" field.
</t>
        </r>
      </text>
    </comment>
  </commentList>
</comments>
</file>

<file path=xl/sharedStrings.xml><?xml version="1.0" encoding="utf-8"?>
<sst xmlns="http://schemas.openxmlformats.org/spreadsheetml/2006/main" count="217" uniqueCount="108">
  <si>
    <t>LAYOUTS</t>
  </si>
  <si>
    <t>TRIAGE TIMES:</t>
  </si>
  <si>
    <t>LAYOUTS + SUB</t>
  </si>
  <si>
    <t>SUB ONLY</t>
  </si>
  <si>
    <t>NUMBER OF ROOMS:</t>
  </si>
  <si>
    <t>NUMBER OF RISERS:</t>
  </si>
  <si>
    <t>REVIEW/SETUP TIME:</t>
  </si>
  <si>
    <t>SPEC REVIEW :</t>
  </si>
  <si>
    <t>-LAYOUTS:</t>
  </si>
  <si>
    <t>-SELF-QC:</t>
  </si>
  <si>
    <t>-RISERS:</t>
  </si>
  <si>
    <t>-NUMBER OF ROOMS:</t>
  </si>
  <si>
    <t>-MULTIPLIER:</t>
  </si>
  <si>
    <t>-NUMBER OF RISERS:</t>
  </si>
  <si>
    <t>-TOTAL</t>
  </si>
  <si>
    <t>ROOM MULTIPLIER:</t>
  </si>
  <si>
    <t>RISER MULTIPLIER:</t>
  </si>
  <si>
    <t>Override</t>
  </si>
  <si>
    <t>SOO:</t>
  </si>
  <si>
    <t>Panel Schedules</t>
  </si>
  <si>
    <t>Large</t>
  </si>
  <si>
    <t>Medium</t>
  </si>
  <si>
    <t xml:space="preserve">Small </t>
  </si>
  <si>
    <t>BBLTD</t>
  </si>
  <si>
    <t>BBLT</t>
  </si>
  <si>
    <t>Switches</t>
  </si>
  <si>
    <t>GR2400 panel</t>
  </si>
  <si>
    <t>Total</t>
  </si>
  <si>
    <t>LMP</t>
  </si>
  <si>
    <t>LCD</t>
  </si>
  <si>
    <t>SILVERBULLET</t>
  </si>
  <si>
    <t>NLIGHT</t>
  </si>
  <si>
    <t>ARP8</t>
  </si>
  <si>
    <t>ARP16</t>
  </si>
  <si>
    <t>TOTAL</t>
  </si>
  <si>
    <t>Triage hr</t>
  </si>
  <si>
    <t>Project name</t>
  </si>
  <si>
    <t>RFA #</t>
  </si>
  <si>
    <t>RFA TYPE</t>
  </si>
  <si>
    <t>Due Date</t>
  </si>
  <si>
    <t>RFA#</t>
  </si>
  <si>
    <t>Project Name</t>
  </si>
  <si>
    <t>Project Info</t>
  </si>
  <si>
    <t>Triaged Hours:</t>
  </si>
  <si>
    <t>Revision:</t>
  </si>
  <si>
    <t>DAS Type:</t>
  </si>
  <si>
    <t>PRE-PROGRAMMING</t>
  </si>
  <si>
    <t>ESTIMATIONS</t>
  </si>
  <si>
    <t>GR2432/48</t>
  </si>
  <si>
    <t>SUBMITAL</t>
  </si>
  <si>
    <t>Assign to owner?</t>
  </si>
  <si>
    <t>ECD</t>
  </si>
  <si>
    <t>RD</t>
  </si>
  <si>
    <t>OWNER</t>
  </si>
  <si>
    <t>N</t>
  </si>
  <si>
    <t>Y</t>
  </si>
  <si>
    <t>CONTROL PANEL TIMES (W/SCHEDULES)</t>
  </si>
  <si>
    <t>CONTROL PANEL TIMES (W/O SCHEDULES)</t>
  </si>
  <si>
    <t>ROOM COUNTS</t>
  </si>
  <si>
    <t>PAGE 1</t>
  </si>
  <si>
    <t>PAGE 2</t>
  </si>
  <si>
    <t>PAGE 3</t>
  </si>
  <si>
    <t>PAGE 4</t>
  </si>
  <si>
    <t>ECD:</t>
  </si>
  <si>
    <t>RD:</t>
  </si>
  <si>
    <t>RESULT:</t>
  </si>
  <si>
    <t>DATE PART 1</t>
  </si>
  <si>
    <t>NAME:</t>
  </si>
  <si>
    <t>(RD)DATE PART 3</t>
  </si>
  <si>
    <t>(ECD)DATE PART 2</t>
  </si>
  <si>
    <t>PAGE 5</t>
  </si>
  <si>
    <t>PAGE 6</t>
  </si>
  <si>
    <t>PAGE 7</t>
  </si>
  <si>
    <t>PAGE 8</t>
  </si>
  <si>
    <t>PAGE 9</t>
  </si>
  <si>
    <t>PAGE 10</t>
  </si>
  <si>
    <t>PAGE 11</t>
  </si>
  <si>
    <t>PAGE 12</t>
  </si>
  <si>
    <t>PAGE 13</t>
  </si>
  <si>
    <t>PAGE 14</t>
  </si>
  <si>
    <t>PAGE 15</t>
  </si>
  <si>
    <t>PAGE 16</t>
  </si>
  <si>
    <t>PAGE 17</t>
  </si>
  <si>
    <t>PAGE 18</t>
  </si>
  <si>
    <t>PAGE 19</t>
  </si>
  <si>
    <t>PAGE 20</t>
  </si>
  <si>
    <t>PAGE 21</t>
  </si>
  <si>
    <t>PAGE 22</t>
  </si>
  <si>
    <t>PAGE 23</t>
  </si>
  <si>
    <t>PAGE 24</t>
  </si>
  <si>
    <t>PAGE 25</t>
  </si>
  <si>
    <t>PAGE 26</t>
  </si>
  <si>
    <t>PAGE 27</t>
  </si>
  <si>
    <t>PAGE 28</t>
  </si>
  <si>
    <t xml:space="preserve">DATA VALIDATION </t>
  </si>
  <si>
    <t>Project Triage Notes</t>
  </si>
  <si>
    <t>1) Open the RFA Header &gt; Select All (CTRL+A) &gt; Copy (CTRL+C)</t>
  </si>
  <si>
    <t>2) Click "Paste Header Info" Button</t>
  </si>
  <si>
    <t>SCHEDULES Y/N?</t>
  </si>
  <si>
    <t>INSTRUCTIONS FOR USE:</t>
  </si>
  <si>
    <t>4) "Copy DAS Schedule Info" will copy all of applicable information to be pasted onto the DAS schedule board. (This will devide the "Triaged Hours" by 7.5hrs and spread it across the number of days needed to complete the RFA.)</t>
  </si>
  <si>
    <t xml:space="preserve">5) DO NOT PASTE OVER PROJECTS ALREADY ON THE DAS SCHEDULE BOARD!! This tool will calculate up to 10days for a single project. Be cognizant of what you might be pasting over when you are scheduling projects in. </t>
  </si>
  <si>
    <t xml:space="preserve">3) All orange fields are adjustable. See comments in each field for details. </t>
  </si>
  <si>
    <t xml:space="preserve">6) Paste Values (SHIFT + CTRL + V) into the "RFA #" column of the DAS Schedule Board. This will override anything previously input into these cells. </t>
  </si>
  <si>
    <t xml:space="preserve">    </t>
  </si>
  <si>
    <t xml:space="preserve"> </t>
  </si>
  <si>
    <t xml:space="preserve">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</si>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</sst>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m/d/yyyy;@"/>
    <numFmt numFmtId="166" formatCode="mm/dd/yyyy\ h:mm"/>
    <numFmt numFmtId="167" formatCode="mm/dd/yyyy\ h:mm\ AM/PM"/>
    <numFmt numFmtId="168" formatCode="mm/dd/yyyy\ hh:mm\ AM/PM"/>
    <numFmt numFmtId="169" formatCode="mm/dd/yyyy\ hh\ AM/PM"/>
  </numFmts>
  <fonts count="19" x14ac:knownFonts="1">
    <font>
      <sz val="11"/>
      <color theme="1"/>
      <name val="Calibri"/>
      <family val="2"/>
      <scheme val="minor"/>
    </font>
    <font>
      <b/>
      <sz val="11"/>
      <color theme="1"/>
      <name val="Calibri"/>
      <family val="2"/>
      <scheme val="minor"/>
    </font>
    <font>
      <b/>
      <sz val="14"/>
      <color theme="1"/>
      <name val="Calibri"/>
      <family val="2"/>
      <scheme val="minor"/>
    </font>
    <font>
      <b/>
      <u/>
      <sz val="11"/>
      <color theme="1"/>
      <name val="Calibri"/>
      <family val="2"/>
      <scheme val="minor"/>
    </font>
    <font>
      <sz val="11"/>
      <color theme="0"/>
      <name val="Calibri"/>
      <family val="2"/>
      <scheme val="minor"/>
    </font>
    <font>
      <b/>
      <sz val="11"/>
      <color theme="0"/>
      <name val="Calibri"/>
      <family val="2"/>
      <scheme val="minor"/>
    </font>
    <font>
      <b/>
      <u/>
      <sz val="11"/>
      <color rgb="FFFF0000"/>
      <name val="Calibri"/>
      <family val="2"/>
      <scheme val="minor"/>
    </font>
    <font>
      <sz val="9"/>
      <color rgb="FF333333"/>
      <name val="Verdana"/>
      <family val="2"/>
    </font>
    <font>
      <sz val="9"/>
      <color rgb="FF242729"/>
      <name val="Consolas"/>
      <family val="3"/>
    </font>
    <font>
      <sz val="11"/>
      <color rgb="FF000000"/>
      <name val="Calibri"/>
      <family val="2"/>
    </font>
    <font>
      <b/>
      <sz val="12"/>
      <color rgb="FF0A0101"/>
      <name val="Arial"/>
      <family val="2"/>
    </font>
    <font>
      <b/>
      <sz val="12"/>
      <color rgb="FF333333"/>
      <name val="Georgia"/>
      <family val="1"/>
    </font>
    <font>
      <sz val="11"/>
      <color rgb="FF3F3F76"/>
      <name val="Calibri"/>
      <family val="2"/>
      <scheme val="minor"/>
    </font>
    <font>
      <b/>
      <sz val="20"/>
      <color rgb="FF000000"/>
      <name val="Calibri"/>
      <family val="2"/>
    </font>
    <font>
      <b/>
      <sz val="16"/>
      <color rgb="FFFF0000"/>
      <name val="Calibri"/>
      <family val="2"/>
    </font>
    <font>
      <b/>
      <sz val="16"/>
      <color rgb="FF000000"/>
      <name val="Calibri Light"/>
      <family val="2"/>
    </font>
    <font>
      <b/>
      <u/>
      <sz val="11"/>
      <name val="Calibri"/>
      <family val="2"/>
      <scheme val="minor"/>
    </font>
    <font>
      <sz val="9"/>
      <color indexed="81"/>
      <name val="Tahoma"/>
      <family val="2"/>
    </font>
    <font>
      <b/>
      <sz val="9"/>
      <color indexed="81"/>
      <name val="Tahoma"/>
      <family val="2"/>
    </font>
  </fonts>
  <fills count="7">
    <fill>
      <patternFill patternType="none"/>
    </fill>
    <fill>
      <patternFill patternType="gray125"/>
    </fill>
    <fill>
      <patternFill patternType="solid">
        <fgColor theme="0" tint="-0.249977111117893"/>
        <bgColor indexed="64"/>
      </patternFill>
    </fill>
    <fill>
      <patternFill patternType="solid">
        <fgColor rgb="FFFF0000"/>
        <bgColor indexed="64"/>
      </patternFill>
    </fill>
    <fill>
      <patternFill patternType="solid">
        <fgColor rgb="FFA5A5A5"/>
      </patternFill>
    </fill>
    <fill>
      <patternFill patternType="solid">
        <fgColor theme="6"/>
        <bgColor indexed="64"/>
      </patternFill>
    </fill>
    <fill>
      <patternFill patternType="solid">
        <fgColor rgb="FFFFCC99"/>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style="double">
        <color rgb="FF3F3F3F"/>
      </right>
      <top style="double">
        <color rgb="FF3F3F3F"/>
      </top>
      <bottom style="double">
        <color rgb="FF3F3F3F"/>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diagonal/>
    </border>
    <border>
      <left style="thin">
        <color rgb="FF7F7F7F"/>
      </left>
      <right style="thin">
        <color indexed="64"/>
      </right>
      <top/>
      <bottom style="thin">
        <color rgb="FF7F7F7F"/>
      </bottom>
      <diagonal/>
    </border>
    <border>
      <left style="medium">
        <color indexed="64"/>
      </left>
      <right/>
      <top style="thin">
        <color indexed="64"/>
      </top>
      <bottom style="medium">
        <color indexed="64"/>
      </bottom>
      <diagonal/>
    </border>
    <border>
      <left style="thin">
        <color rgb="FF7F7F7F"/>
      </left>
      <right style="thin">
        <color indexed="64"/>
      </right>
      <top style="thin">
        <color indexed="64"/>
      </top>
      <bottom style="medium">
        <color indexed="64"/>
      </bottom>
      <diagonal/>
    </border>
    <border>
      <left style="double">
        <color rgb="FF3F3F3F"/>
      </left>
      <right/>
      <top style="medium">
        <color indexed="64"/>
      </top>
      <bottom style="medium">
        <color indexed="64"/>
      </bottom>
      <diagonal/>
    </border>
    <border>
      <left style="thin">
        <color rgb="FF7F7F7F"/>
      </left>
      <right style="thin">
        <color indexed="64"/>
      </right>
      <top style="thin">
        <color rgb="FF7F7F7F"/>
      </top>
      <bottom style="medium">
        <color indexed="64"/>
      </bottom>
      <diagonal/>
    </border>
    <border>
      <left style="thin">
        <color rgb="FF7F7F7F"/>
      </left>
      <right style="thin">
        <color indexed="64"/>
      </right>
      <top/>
      <bottom style="medium">
        <color indexed="64"/>
      </bottom>
      <diagonal/>
    </border>
    <border>
      <left style="thin">
        <color rgb="FF7F7F7F"/>
      </left>
      <right style="thin">
        <color rgb="FF7F7F7F"/>
      </right>
      <top style="thin">
        <color rgb="FF7F7F7F"/>
      </top>
      <bottom style="medium">
        <color indexed="64"/>
      </bottom>
      <diagonal/>
    </border>
  </borders>
  <cellStyleXfs count="4">
    <xf numFmtId="0" fontId="0" fillId="0" borderId="0"/>
    <xf numFmtId="0" fontId="5" fillId="4" borderId="13" applyNumberFormat="0" applyAlignment="0" applyProtection="0"/>
    <xf numFmtId="0" fontId="1" fillId="0" borderId="14" applyNumberFormat="0" applyFill="0" applyAlignment="0" applyProtection="0"/>
    <xf numFmtId="0" fontId="12" fillId="6" borderId="22" applyNumberFormat="0" applyAlignment="0" applyProtection="0"/>
  </cellStyleXfs>
  <cellXfs count="104">
    <xf numFmtId="0" fontId="0" fillId="0" borderId="0" xfId="0"/>
    <xf numFmtId="0" fontId="0" fillId="0" borderId="3" xfId="0" applyBorder="1"/>
    <xf numFmtId="0" fontId="0" fillId="0" borderId="0" xfId="0" applyBorder="1"/>
    <xf numFmtId="0" fontId="0" fillId="0" borderId="5" xfId="0" applyBorder="1"/>
    <xf numFmtId="0" fontId="0" fillId="0" borderId="4" xfId="0" applyBorder="1"/>
    <xf numFmtId="0" fontId="0" fillId="0" borderId="7" xfId="0" applyBorder="1"/>
    <xf numFmtId="0" fontId="0" fillId="0" borderId="8" xfId="0" applyBorder="1"/>
    <xf numFmtId="164" fontId="0" fillId="0" borderId="0" xfId="0" applyNumberFormat="1"/>
    <xf numFmtId="0" fontId="3" fillId="0" borderId="0" xfId="0" applyFont="1"/>
    <xf numFmtId="0" fontId="4" fillId="3" borderId="0" xfId="0" applyFont="1" applyFill="1" applyBorder="1"/>
    <xf numFmtId="0" fontId="0" fillId="0" borderId="6" xfId="0" applyBorder="1"/>
    <xf numFmtId="0" fontId="0" fillId="0" borderId="0" xfId="0"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0" fillId="0" borderId="0" xfId="0" applyAlignment="1"/>
    <xf numFmtId="0" fontId="1" fillId="0" borderId="0" xfId="0" applyFont="1" applyAlignment="1">
      <alignment horizontal="right"/>
    </xf>
    <xf numFmtId="0" fontId="0" fillId="0" borderId="0" xfId="0" applyAlignment="1">
      <alignment horizontal="left"/>
    </xf>
    <xf numFmtId="0" fontId="3" fillId="0" borderId="0" xfId="0" applyFont="1" applyBorder="1" applyAlignment="1"/>
    <xf numFmtId="0" fontId="0" fillId="0" borderId="9" xfId="0" applyBorder="1"/>
    <xf numFmtId="0" fontId="4" fillId="3" borderId="0" xfId="0" applyFont="1" applyFill="1" applyBorder="1" applyAlignment="1">
      <alignment horizontal="center" vertical="center"/>
    </xf>
    <xf numFmtId="0" fontId="3" fillId="0" borderId="11" xfId="0" applyFont="1" applyBorder="1" applyAlignment="1">
      <alignment horizontal="left"/>
    </xf>
    <xf numFmtId="0" fontId="1" fillId="0" borderId="11" xfId="0" quotePrefix="1" applyFont="1" applyBorder="1" applyAlignment="1">
      <alignment horizontal="right"/>
    </xf>
    <xf numFmtId="0" fontId="1" fillId="0" borderId="12" xfId="0" quotePrefix="1" applyFont="1" applyBorder="1" applyAlignment="1">
      <alignment horizontal="right"/>
    </xf>
    <xf numFmtId="0" fontId="0" fillId="0" borderId="11" xfId="0" applyBorder="1"/>
    <xf numFmtId="0" fontId="1" fillId="0" borderId="10" xfId="0" quotePrefix="1" applyFont="1" applyBorder="1" applyAlignment="1">
      <alignment horizontal="right"/>
    </xf>
    <xf numFmtId="0" fontId="0" fillId="0" borderId="0" xfId="0" applyAlignment="1">
      <alignment horizontal="right"/>
    </xf>
    <xf numFmtId="0" fontId="0" fillId="0" borderId="2" xfId="0" applyBorder="1"/>
    <xf numFmtId="0" fontId="1" fillId="0" borderId="4" xfId="0" applyFont="1" applyBorder="1" applyAlignment="1">
      <alignment horizontal="right"/>
    </xf>
    <xf numFmtId="0" fontId="1" fillId="0" borderId="6" xfId="0" applyFont="1" applyBorder="1" applyAlignment="1">
      <alignment horizontal="right"/>
    </xf>
    <xf numFmtId="0" fontId="0" fillId="0" borderId="7" xfId="0" applyFill="1" applyBorder="1"/>
    <xf numFmtId="0" fontId="1" fillId="0" borderId="1" xfId="0" applyFont="1" applyBorder="1"/>
    <xf numFmtId="0" fontId="0" fillId="0" borderId="2" xfId="0" applyFill="1" applyBorder="1"/>
    <xf numFmtId="0" fontId="1" fillId="2" borderId="14" xfId="2" quotePrefix="1" applyFill="1"/>
    <xf numFmtId="0" fontId="5" fillId="4" borderId="15" xfId="1" applyBorder="1" applyAlignment="1">
      <alignment horizontal="center"/>
    </xf>
    <xf numFmtId="0" fontId="0" fillId="0" borderId="4" xfId="0" applyBorder="1" applyAlignment="1">
      <alignment wrapText="1"/>
    </xf>
    <xf numFmtId="0" fontId="0" fillId="0" borderId="0" xfId="0" applyBorder="1" applyAlignment="1">
      <alignment wrapText="1"/>
    </xf>
    <xf numFmtId="0" fontId="0" fillId="0" borderId="5" xfId="0" applyBorder="1" applyAlignment="1">
      <alignment wrapText="1"/>
    </xf>
    <xf numFmtId="0" fontId="2" fillId="0" borderId="16" xfId="0" applyFont="1" applyBorder="1"/>
    <xf numFmtId="0" fontId="2" fillId="0" borderId="9" xfId="0" applyFont="1" applyBorder="1"/>
    <xf numFmtId="0" fontId="0" fillId="0" borderId="17" xfId="0" applyBorder="1"/>
    <xf numFmtId="0" fontId="0" fillId="0" borderId="18" xfId="0" applyBorder="1"/>
    <xf numFmtId="0" fontId="3" fillId="0" borderId="0" xfId="0" applyFont="1" applyBorder="1" applyAlignment="1">
      <alignment horizontal="left"/>
    </xf>
    <xf numFmtId="0" fontId="0" fillId="0" borderId="19" xfId="0" applyBorder="1"/>
    <xf numFmtId="0" fontId="0" fillId="0" borderId="0" xfId="0" applyAlignment="1">
      <alignment horizontal="left"/>
    </xf>
    <xf numFmtId="0" fontId="0" fillId="0" borderId="0" xfId="0" applyNumberFormat="1"/>
    <xf numFmtId="0" fontId="1" fillId="2" borderId="14" xfId="2" applyNumberFormat="1" applyFill="1"/>
    <xf numFmtId="0" fontId="0" fillId="0" borderId="3" xfId="0" applyNumberFormat="1" applyBorder="1"/>
    <xf numFmtId="0" fontId="0" fillId="0" borderId="8" xfId="0" applyNumberFormat="1" applyBorder="1"/>
    <xf numFmtId="0" fontId="0" fillId="0" borderId="5" xfId="0" applyNumberFormat="1" applyBorder="1"/>
    <xf numFmtId="2" fontId="0" fillId="0" borderId="0" xfId="0" applyNumberFormat="1"/>
    <xf numFmtId="2" fontId="0" fillId="0" borderId="0" xfId="0" quotePrefix="1" applyNumberFormat="1"/>
    <xf numFmtId="0" fontId="5" fillId="5" borderId="15" xfId="1" applyFont="1" applyFill="1" applyBorder="1" applyAlignment="1">
      <alignment horizontal="left"/>
    </xf>
    <xf numFmtId="0" fontId="0" fillId="0" borderId="0" xfId="0" applyFont="1" applyAlignment="1">
      <alignment horizontal="right"/>
    </xf>
    <xf numFmtId="0" fontId="6" fillId="0" borderId="0" xfId="0" applyFont="1" applyAlignment="1">
      <alignment horizontal="left"/>
    </xf>
    <xf numFmtId="0" fontId="0" fillId="0" borderId="20" xfId="0" applyBorder="1"/>
    <xf numFmtId="0" fontId="1" fillId="0" borderId="0" xfId="0" applyFont="1"/>
    <xf numFmtId="0" fontId="7" fillId="0" borderId="0" xfId="0" applyFont="1"/>
    <xf numFmtId="0" fontId="8" fillId="0" borderId="0" xfId="0" applyFont="1"/>
    <xf numFmtId="16" fontId="0" fillId="0" borderId="0" xfId="0" applyNumberFormat="1"/>
    <xf numFmtId="0" fontId="1" fillId="0" borderId="21" xfId="0" applyFont="1" applyBorder="1"/>
    <xf numFmtId="0" fontId="0" fillId="0" borderId="21" xfId="0" applyBorder="1"/>
    <xf numFmtId="0" fontId="10" fillId="0" borderId="0" xfId="0" applyFont="1"/>
    <xf numFmtId="0" fontId="8" fillId="0" borderId="0" xfId="0" applyFont="1" applyAlignment="1">
      <alignment horizontal="left" vertical="center"/>
    </xf>
    <xf numFmtId="165" fontId="0" fillId="0" borderId="0" xfId="0" applyNumberFormat="1"/>
    <xf numFmtId="14" fontId="0" fillId="0" borderId="0" xfId="0" applyNumberFormat="1"/>
    <xf numFmtId="14" fontId="11" fillId="0" borderId="0" xfId="0" applyNumberFormat="1" applyFont="1"/>
    <xf numFmtId="18" fontId="0" fillId="0" borderId="0" xfId="0" applyNumberFormat="1"/>
    <xf numFmtId="166" fontId="0" fillId="0" borderId="0" xfId="0" applyNumberFormat="1" applyAlignment="1">
      <alignment horizontal="left"/>
    </xf>
    <xf numFmtId="22" fontId="0" fillId="0" borderId="0" xfId="0" applyNumberFormat="1"/>
    <xf numFmtId="167" fontId="0" fillId="0" borderId="0" xfId="0" applyNumberFormat="1" applyAlignment="1">
      <alignment horizontal="left"/>
    </xf>
    <xf numFmtId="165" fontId="0" fillId="0" borderId="0" xfId="0" applyNumberFormat="1" applyBorder="1"/>
    <xf numFmtId="16" fontId="0" fillId="0" borderId="0" xfId="0" applyNumberFormat="1" applyBorder="1"/>
    <xf numFmtId="168" fontId="0" fillId="0" borderId="0" xfId="0" applyNumberFormat="1"/>
    <xf numFmtId="0" fontId="6" fillId="0" borderId="0" xfId="0" applyFont="1"/>
    <xf numFmtId="0" fontId="12" fillId="6" borderId="22" xfId="3"/>
    <xf numFmtId="0" fontId="12" fillId="6" borderId="22" xfId="3" applyAlignment="1">
      <alignment horizontal="left"/>
    </xf>
    <xf numFmtId="0" fontId="12" fillId="6" borderId="22" xfId="3" applyAlignment="1">
      <alignment horizontal="center" vertical="center"/>
    </xf>
    <xf numFmtId="0" fontId="0" fillId="0" borderId="0" xfId="0" applyFont="1" applyBorder="1" applyAlignment="1">
      <alignment horizontal="right"/>
    </xf>
    <xf numFmtId="0" fontId="12" fillId="6" borderId="23" xfId="3" applyBorder="1" applyAlignment="1">
      <alignment horizontal="left"/>
    </xf>
    <xf numFmtId="0" fontId="12" fillId="6" borderId="24" xfId="3" applyBorder="1" applyAlignment="1">
      <alignment horizontal="left"/>
    </xf>
    <xf numFmtId="0" fontId="12" fillId="6" borderId="25" xfId="3" applyBorder="1" applyAlignment="1">
      <alignment horizontal="left"/>
    </xf>
    <xf numFmtId="0" fontId="0" fillId="0" borderId="26" xfId="0" applyBorder="1"/>
    <xf numFmtId="0" fontId="12" fillId="6" borderId="27" xfId="3" applyBorder="1" applyAlignment="1">
      <alignment horizontal="left"/>
    </xf>
    <xf numFmtId="0" fontId="0" fillId="5" borderId="28" xfId="0" applyFont="1" applyFill="1" applyBorder="1"/>
    <xf numFmtId="0" fontId="12" fillId="6" borderId="29" xfId="3" applyBorder="1" applyAlignment="1">
      <alignment horizontal="left"/>
    </xf>
    <xf numFmtId="0" fontId="12" fillId="6" borderId="30" xfId="3" applyBorder="1" applyAlignment="1">
      <alignment horizontal="left"/>
    </xf>
    <xf numFmtId="0" fontId="12" fillId="6" borderId="31" xfId="3" applyBorder="1"/>
    <xf numFmtId="0" fontId="16" fillId="0" borderId="0" xfId="0" applyFont="1" applyAlignment="1">
      <alignment horizontal="left"/>
    </xf>
    <xf numFmtId="169" fontId="0" fillId="0" borderId="0" xfId="0" applyNumberFormat="1"/>
    <xf numFmtId="169" fontId="0" fillId="0" borderId="0" xfId="0" applyNumberFormat="1" applyAlignment="1">
      <alignment horizontal="center" vertical="center"/>
    </xf>
    <xf numFmtId="0" fontId="0" fillId="0" borderId="0" xfId="0"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3" fillId="0" borderId="7" xfId="0" applyFont="1" applyBorder="1" applyAlignment="1">
      <alignment horizontal="center"/>
    </xf>
  </cellXfs>
  <cellStyles count="4">
    <cellStyle name="Check Cell" xfId="1" builtinId="23"/>
    <cellStyle name="Input" xfId="3" builtinId="20"/>
    <cellStyle name="Normal" xfId="0" builtinId="0"/>
    <cellStyle name="Total" xfId="2" builtinId="25"/>
  </cellStyles>
  <dxfs count="1">
    <dxf>
      <font>
        <color rgb="FF9C0006"/>
      </font>
      <fill>
        <patternFill>
          <bgColor rgb="FFFFC7CE"/>
        </patternFill>
      </fill>
    </dxf>
  </dxfs>
  <tableStyles count="0" defaultTableStyle="TableStyleMedium2" defaultPivotStyle="PivotStyleLight16"/>
  <colors>
    <mruColors>
      <color rgb="FFFF5757"/>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12</xdr:row>
          <xdr:rowOff>200025</xdr:rowOff>
        </xdr:from>
        <xdr:to>
          <xdr:col>5</xdr:col>
          <xdr:colOff>0</xdr:colOff>
          <xdr:row>14</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Layout + Sub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171450</xdr:rowOff>
        </xdr:from>
        <xdr:to>
          <xdr:col>2</xdr:col>
          <xdr:colOff>19050</xdr:colOff>
          <xdr:row>14</xdr:row>
          <xdr:rowOff>9525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12</xdr:row>
          <xdr:rowOff>190500</xdr:rowOff>
        </xdr:from>
        <xdr:to>
          <xdr:col>8</xdr:col>
          <xdr:colOff>9525</xdr:colOff>
          <xdr:row>14</xdr:row>
          <xdr:rowOff>9525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Sub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12</xdr:row>
          <xdr:rowOff>171450</xdr:rowOff>
        </xdr:from>
        <xdr:to>
          <xdr:col>11</xdr:col>
          <xdr:colOff>57150</xdr:colOff>
          <xdr:row>14</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PreProgramming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1266825</xdr:colOff>
          <xdr:row>9</xdr:row>
          <xdr:rowOff>9525</xdr:rowOff>
        </xdr:from>
        <xdr:to>
          <xdr:col>9</xdr:col>
          <xdr:colOff>228600</xdr:colOff>
          <xdr:row>10</xdr:row>
          <xdr:rowOff>28575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Copy Triage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9</xdr:row>
          <xdr:rowOff>0</xdr:rowOff>
        </xdr:from>
        <xdr:to>
          <xdr:col>2</xdr:col>
          <xdr:colOff>762000</xdr:colOff>
          <xdr:row>11</xdr:row>
          <xdr:rowOff>104775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Light"/>
                </a:rPr>
                <a:t>Copy DAS Schedule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19050</xdr:rowOff>
        </xdr:from>
        <xdr:to>
          <xdr:col>0</xdr:col>
          <xdr:colOff>1314450</xdr:colOff>
          <xdr:row>10</xdr:row>
          <xdr:rowOff>200025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FF0000"/>
                  </a:solidFill>
                  <a:latin typeface="Calibri"/>
                </a:rPr>
                <a:t>RESET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1323975</xdr:colOff>
          <xdr:row>0</xdr:row>
          <xdr:rowOff>0</xdr:rowOff>
        </xdr:from>
        <xdr:to>
          <xdr:col>3</xdr:col>
          <xdr:colOff>9525</xdr:colOff>
          <xdr:row>1</xdr:row>
          <xdr:rowOff>38100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Paste Header Info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41"/>
  <sheetViews>
    <sheetView tabSelected="1" zoomScale="85" zoomScaleNormal="85" workbookViewId="0">
      <selection activeCell="B5" sqref="B5"/>
    </sheetView>
  </sheetViews>
  <sheetFormatPr defaultColWidth="8.7109375" defaultRowHeight="15" x14ac:dyDescent="0.25"/>
  <cols>
    <col min="1" max="1" width="20" bestFit="1" customWidth="1"/>
    <col min="2" max="2" width="22" customWidth="1"/>
    <col min="3" max="3" width="11.7109375" style="2" customWidth="1"/>
    <col min="4" max="4" width="20" bestFit="1" customWidth="1"/>
    <col min="5" max="5" width="8.7109375" customWidth="1"/>
    <col min="7" max="7" width="20" customWidth="1"/>
    <col min="8" max="9" width="8.7109375" customWidth="1"/>
    <col min="10" max="10" width="23" customWidth="1"/>
    <col min="11" max="11" width="8.28515625" customWidth="1"/>
    <col min="12" max="12" width="13.140625" customWidth="1"/>
    <col min="13" max="13" width="8.42578125" customWidth="1"/>
    <col min="14" max="14" width="13" customWidth="1"/>
    <col min="16" max="16" width="18.140625" customWidth="1"/>
    <col min="18" max="18" width="19.28515625" customWidth="1"/>
    <col min="19" max="19" width="11.140625" customWidth="1"/>
    <col min="20" max="20" width="24.7109375" customWidth="1"/>
    <col min="23" max="24" width="0.85546875" customWidth="1"/>
    <col min="26" max="26" width="24.7109375" customWidth="1"/>
    <col min="27" max="28" width="8.7109375" customWidth="1"/>
    <col min="29" max="30" width="0.85546875" customWidth="1"/>
    <col min="32" max="32" width="24.7109375" customWidth="1"/>
    <col min="33" max="34" width="8.7109375" customWidth="1"/>
    <col min="35" max="36" width="0.85546875" customWidth="1"/>
    <col min="38" max="38" width="24.7109375" customWidth="1"/>
    <col min="39" max="40" width="8.7109375" customWidth="1"/>
    <col min="41" max="42" width="0.85546875" customWidth="1"/>
    <col min="44" max="44" width="24.7109375" customWidth="1"/>
    <col min="45" max="46" width="8.7109375" customWidth="1"/>
    <col min="47" max="48" width="0.85546875" customWidth="1"/>
    <col min="53" max="54" width="0.85546875" customWidth="1"/>
  </cols>
  <sheetData>
    <row r="1" spans="1:20" ht="18.75" customHeight="1" thickBot="1" x14ac:dyDescent="0.3">
      <c r="A1" s="8" t="s">
        <v>42</v>
      </c>
      <c r="B1" s="90"/>
      <c r="C1" s="90"/>
      <c r="D1" s="8" t="s">
        <v>47</v>
      </c>
      <c r="F1" t="s">
        <v>17</v>
      </c>
      <c r="G1" s="91" t="s">
        <v>95</v>
      </c>
      <c r="H1" s="92"/>
      <c r="I1" s="92"/>
      <c r="J1" s="93"/>
      <c r="K1" s="8" t="s">
        <v>19</v>
      </c>
      <c r="M1" s="5"/>
      <c r="N1" s="87" t="s">
        <v>58</v>
      </c>
      <c r="P1" s="73"/>
      <c r="Q1" s="55"/>
      <c r="R1" s="8"/>
    </row>
    <row r="2" spans="1:20" ht="16.5" thickTop="1" thickBot="1" x14ac:dyDescent="0.3">
      <c r="A2" s="15" t="s">
        <v>40</v>
      </c>
      <c r="B2" s="43"/>
      <c r="C2" s="25"/>
      <c r="D2" s="30" t="s">
        <v>0</v>
      </c>
      <c r="E2" s="26"/>
      <c r="F2" s="26"/>
      <c r="G2" s="94"/>
      <c r="H2" s="95"/>
      <c r="I2" s="95"/>
      <c r="J2" s="96"/>
      <c r="K2" s="51" t="s">
        <v>98</v>
      </c>
      <c r="L2" s="83"/>
      <c r="M2" s="85" t="s">
        <v>55</v>
      </c>
      <c r="N2" s="52" t="s">
        <v>59</v>
      </c>
      <c r="O2" s="76"/>
    </row>
    <row r="3" spans="1:20" ht="15" customHeight="1" thickTop="1" thickBot="1" x14ac:dyDescent="0.3">
      <c r="A3" s="15" t="s">
        <v>41</v>
      </c>
      <c r="B3" t="str">
        <f>Calculations!S11</f>
        <v>NO INFO</v>
      </c>
      <c r="C3" s="14"/>
      <c r="D3" s="27" t="s">
        <v>4</v>
      </c>
      <c r="E3" s="74">
        <f>O30</f>
        <v>0</v>
      </c>
      <c r="F3" s="19"/>
      <c r="G3" s="97"/>
      <c r="H3" s="98"/>
      <c r="I3" s="98"/>
      <c r="J3" s="99"/>
      <c r="K3" s="33" t="s">
        <v>28</v>
      </c>
      <c r="L3" s="4" t="s">
        <v>20</v>
      </c>
      <c r="M3" s="80">
        <v>0</v>
      </c>
      <c r="N3" s="52" t="s">
        <v>60</v>
      </c>
      <c r="O3" s="76"/>
      <c r="P3" s="73"/>
      <c r="Q3" s="55"/>
    </row>
    <row r="4" spans="1:20" ht="15.75" thickTop="1" x14ac:dyDescent="0.25">
      <c r="A4" s="15" t="s">
        <v>63</v>
      </c>
      <c r="B4" s="69" t="str">
        <f>Calculations!S13</f>
        <v/>
      </c>
      <c r="C4" s="16"/>
      <c r="D4" s="27" t="s">
        <v>15</v>
      </c>
      <c r="E4" s="74">
        <v>2</v>
      </c>
      <c r="F4" s="2"/>
      <c r="G4" s="97"/>
      <c r="H4" s="98"/>
      <c r="I4" s="98"/>
      <c r="J4" s="99"/>
      <c r="L4" s="4" t="s">
        <v>21</v>
      </c>
      <c r="M4" s="79">
        <v>0</v>
      </c>
      <c r="N4" s="77" t="s">
        <v>61</v>
      </c>
      <c r="O4" s="76"/>
    </row>
    <row r="5" spans="1:20" ht="15.75" thickBot="1" x14ac:dyDescent="0.3">
      <c r="A5" s="15" t="s">
        <v>64</v>
      </c>
      <c r="B5" s="69" t="str">
        <f>Calculations!S14</f>
        <v/>
      </c>
      <c r="C5" s="16"/>
      <c r="D5" s="27" t="s">
        <v>6</v>
      </c>
      <c r="E5" s="74">
        <v>0.5</v>
      </c>
      <c r="F5" s="2"/>
      <c r="G5" s="97"/>
      <c r="H5" s="98"/>
      <c r="I5" s="98"/>
      <c r="J5" s="99"/>
      <c r="L5" s="81" t="s">
        <v>22</v>
      </c>
      <c r="M5" s="82">
        <v>0</v>
      </c>
      <c r="N5" s="52" t="s">
        <v>62</v>
      </c>
      <c r="O5" s="76"/>
      <c r="P5" s="53"/>
    </row>
    <row r="6" spans="1:20" ht="16.5" thickTop="1" thickBot="1" x14ac:dyDescent="0.3">
      <c r="A6" s="15"/>
      <c r="B6" s="67"/>
      <c r="C6" s="16"/>
      <c r="D6" s="27" t="s">
        <v>7</v>
      </c>
      <c r="E6" s="74">
        <v>0.5</v>
      </c>
      <c r="F6" s="2"/>
      <c r="G6" s="97"/>
      <c r="H6" s="98"/>
      <c r="I6" s="98"/>
      <c r="J6" s="99"/>
      <c r="K6" s="33" t="s">
        <v>29</v>
      </c>
      <c r="L6" s="4" t="s">
        <v>48</v>
      </c>
      <c r="M6" s="80">
        <v>0</v>
      </c>
      <c r="N6" s="52" t="s">
        <v>70</v>
      </c>
      <c r="O6" s="76"/>
      <c r="P6" s="68"/>
    </row>
    <row r="7" spans="1:20" ht="16.5" thickTop="1" thickBot="1" x14ac:dyDescent="0.3">
      <c r="A7" s="15" t="s">
        <v>50</v>
      </c>
      <c r="B7" s="75" t="str">
        <f>Calculations!AB1</f>
        <v>Y</v>
      </c>
      <c r="C7" s="16"/>
      <c r="D7" s="28"/>
      <c r="E7" s="29"/>
      <c r="F7" s="5"/>
      <c r="G7" s="97"/>
      <c r="H7" s="98"/>
      <c r="I7" s="98"/>
      <c r="J7" s="99"/>
      <c r="K7" s="2"/>
      <c r="L7" s="4" t="s">
        <v>24</v>
      </c>
      <c r="M7" s="78">
        <v>0</v>
      </c>
      <c r="N7" s="52" t="s">
        <v>71</v>
      </c>
      <c r="O7" s="76"/>
    </row>
    <row r="8" spans="1:20" x14ac:dyDescent="0.25">
      <c r="A8" s="15" t="s">
        <v>38</v>
      </c>
      <c r="B8" s="16"/>
      <c r="C8" s="43"/>
      <c r="D8" s="30" t="s">
        <v>49</v>
      </c>
      <c r="E8" s="31"/>
      <c r="F8" s="26"/>
      <c r="G8" s="97"/>
      <c r="H8" s="98"/>
      <c r="I8" s="98"/>
      <c r="J8" s="99"/>
      <c r="K8" s="2"/>
      <c r="L8" s="4" t="s">
        <v>23</v>
      </c>
      <c r="M8" s="78">
        <v>0</v>
      </c>
      <c r="N8" s="52" t="s">
        <v>72</v>
      </c>
      <c r="O8" s="76"/>
      <c r="P8" s="2"/>
      <c r="Q8" s="2"/>
      <c r="R8" s="2"/>
    </row>
    <row r="9" spans="1:20" ht="15.75" thickBot="1" x14ac:dyDescent="0.3">
      <c r="A9" s="15" t="s">
        <v>43</v>
      </c>
      <c r="B9" s="16"/>
      <c r="C9" s="13"/>
      <c r="D9" s="27" t="s">
        <v>5</v>
      </c>
      <c r="E9" s="74"/>
      <c r="F9" s="9"/>
      <c r="G9" s="100"/>
      <c r="H9" s="101"/>
      <c r="I9" s="101"/>
      <c r="J9" s="102"/>
      <c r="K9" s="2"/>
      <c r="L9" s="4" t="s">
        <v>25</v>
      </c>
      <c r="M9" s="79">
        <v>0</v>
      </c>
      <c r="N9" s="52" t="s">
        <v>73</v>
      </c>
      <c r="O9" s="76"/>
      <c r="P9" s="2"/>
      <c r="Q9" s="2"/>
      <c r="R9" s="2"/>
    </row>
    <row r="10" spans="1:20" ht="16.5" customHeight="1" thickBot="1" x14ac:dyDescent="0.3">
      <c r="D10" s="27" t="s">
        <v>16</v>
      </c>
      <c r="E10" s="74">
        <v>2</v>
      </c>
      <c r="F10" s="2"/>
      <c r="G10" s="34"/>
      <c r="H10" s="35"/>
      <c r="I10" s="35"/>
      <c r="J10" s="36"/>
      <c r="K10" s="2"/>
      <c r="L10" s="81" t="s">
        <v>30</v>
      </c>
      <c r="M10" s="82">
        <v>0</v>
      </c>
      <c r="N10" s="52" t="s">
        <v>74</v>
      </c>
      <c r="O10" s="76"/>
      <c r="P10" s="2"/>
      <c r="Q10" s="2"/>
      <c r="R10" s="2"/>
    </row>
    <row r="11" spans="1:20" ht="16.5" thickTop="1" thickBot="1" x14ac:dyDescent="0.3">
      <c r="D11" s="28" t="s">
        <v>18</v>
      </c>
      <c r="E11" s="86">
        <v>0.5</v>
      </c>
      <c r="F11" s="5"/>
      <c r="G11" s="34"/>
      <c r="H11" s="35"/>
      <c r="I11" s="35"/>
      <c r="J11" s="35"/>
      <c r="K11" s="33" t="s">
        <v>31</v>
      </c>
      <c r="L11" s="4" t="s">
        <v>32</v>
      </c>
      <c r="M11" s="80">
        <v>0</v>
      </c>
      <c r="N11" s="52" t="s">
        <v>75</v>
      </c>
      <c r="O11" s="76"/>
      <c r="P11" s="17"/>
      <c r="Q11" s="17"/>
      <c r="R11" s="2"/>
    </row>
    <row r="12" spans="1:20" ht="15.75" thickBot="1" x14ac:dyDescent="0.3">
      <c r="G12" s="2"/>
      <c r="H12" s="2"/>
      <c r="I12" s="2"/>
      <c r="J12" s="2"/>
      <c r="K12" s="2"/>
      <c r="L12" s="10" t="s">
        <v>33</v>
      </c>
      <c r="M12" s="84">
        <v>0</v>
      </c>
      <c r="N12" s="52" t="s">
        <v>76</v>
      </c>
      <c r="O12" s="76"/>
    </row>
    <row r="13" spans="1:20" ht="16.5" thickBot="1" x14ac:dyDescent="0.3">
      <c r="G13" s="2"/>
      <c r="H13" s="2"/>
      <c r="I13" s="2"/>
      <c r="M13" s="2"/>
      <c r="N13" s="52" t="s">
        <v>77</v>
      </c>
      <c r="O13" s="76"/>
      <c r="P13" s="2"/>
      <c r="T13" s="61"/>
    </row>
    <row r="14" spans="1:20" ht="19.5" thickBot="1" x14ac:dyDescent="0.35">
      <c r="A14" s="37" t="s">
        <v>0</v>
      </c>
      <c r="B14" s="18"/>
      <c r="C14" s="40"/>
      <c r="D14" s="38" t="s">
        <v>2</v>
      </c>
      <c r="E14" s="18"/>
      <c r="F14" s="40"/>
      <c r="G14" s="38" t="s">
        <v>3</v>
      </c>
      <c r="H14" s="18"/>
      <c r="I14" s="40"/>
      <c r="J14" s="38" t="s">
        <v>46</v>
      </c>
      <c r="K14" s="18"/>
      <c r="L14" s="39"/>
      <c r="N14" s="52" t="s">
        <v>78</v>
      </c>
      <c r="O14" s="76"/>
    </row>
    <row r="15" spans="1:20" x14ac:dyDescent="0.25">
      <c r="A15" s="20" t="s">
        <v>1</v>
      </c>
      <c r="D15" s="20" t="s">
        <v>1</v>
      </c>
      <c r="F15" s="42"/>
      <c r="G15" s="41" t="s">
        <v>1</v>
      </c>
      <c r="J15" s="20" t="s">
        <v>1</v>
      </c>
      <c r="N15" s="52" t="s">
        <v>79</v>
      </c>
      <c r="O15" s="76"/>
      <c r="R15" s="56"/>
    </row>
    <row r="16" spans="1:20" x14ac:dyDescent="0.25">
      <c r="A16" s="21" t="str">
        <f>IF(E5=0,"","-REVIEW/SETUP:")</f>
        <v>-REVIEW/SETUP:</v>
      </c>
      <c r="B16" s="49">
        <f>IF(E5=0,"",E5)</f>
        <v>0.5</v>
      </c>
      <c r="D16" s="21" t="str">
        <f>IF(E5=0,"","-REVIEW/SETUP:")</f>
        <v>-REVIEW/SETUP:</v>
      </c>
      <c r="E16" s="49">
        <f>IF(E5=0,"",E5)</f>
        <v>0.5</v>
      </c>
      <c r="F16" s="2"/>
      <c r="G16" s="21" t="s">
        <v>10</v>
      </c>
      <c r="H16" s="49">
        <f>IF($F$9&gt;0,$F$9,($E$9*$E$10)/60)</f>
        <v>0</v>
      </c>
      <c r="I16" s="7"/>
      <c r="J16" s="21" t="str">
        <f>IF(E5=0,"","-REVIEW/SETUP:")</f>
        <v>-REVIEW/SETUP:</v>
      </c>
      <c r="K16">
        <v>0.25</v>
      </c>
      <c r="N16" s="52" t="s">
        <v>80</v>
      </c>
      <c r="O16" s="76"/>
    </row>
    <row r="17" spans="1:24" x14ac:dyDescent="0.25">
      <c r="A17" s="21" t="str">
        <f>IF(E6=0,"","-SPECS:")</f>
        <v>-SPECS:</v>
      </c>
      <c r="B17" s="49">
        <f>IF(E6=0,"",E6)</f>
        <v>0.5</v>
      </c>
      <c r="D17" s="21" t="str">
        <f>IF(E6=0,"","-SPECS:")</f>
        <v>-SPECS:</v>
      </c>
      <c r="E17" s="49">
        <f>IF(E6=0,"",E6)</f>
        <v>0.5</v>
      </c>
      <c r="F17" s="2"/>
      <c r="G17" s="21" t="str">
        <f>IF(E11=0,"","-SOO:")</f>
        <v>-SOO:</v>
      </c>
      <c r="H17" s="49">
        <f>IF(E11=0,"",E11)</f>
        <v>0.5</v>
      </c>
      <c r="J17" s="21" t="str">
        <f>IF(Calculations!$E$9=0,"","-SCHEDULES:")</f>
        <v/>
      </c>
      <c r="K17" s="49" t="str">
        <f>IF(Calculations!$E$9=0," ",Calculations!$E$9)</f>
        <v xml:space="preserve"> </v>
      </c>
      <c r="N17" s="52" t="s">
        <v>81</v>
      </c>
      <c r="O17" s="76"/>
    </row>
    <row r="18" spans="1:24" ht="15.75" thickBot="1" x14ac:dyDescent="0.3">
      <c r="A18" s="21" t="s">
        <v>8</v>
      </c>
      <c r="B18" s="49">
        <f>IF($F$3&gt;0,$F$3,($E$3*$E$4)/60)</f>
        <v>0</v>
      </c>
      <c r="D18" s="21" t="s">
        <v>8</v>
      </c>
      <c r="E18" s="49">
        <f>IF($F$3&gt;0,$F$3,($E$3*$E$4)/60)</f>
        <v>0</v>
      </c>
      <c r="F18" s="2"/>
      <c r="G18" s="21" t="s">
        <v>9</v>
      </c>
      <c r="H18" s="49">
        <f>IF(SUM(H16:H17)&gt;=12,1,IF(SUM(H16:H17)&gt;=4,0.5,0.25))</f>
        <v>0.25</v>
      </c>
      <c r="J18" s="22" t="str">
        <f>IF(K18=0,"","-FLUFF")</f>
        <v/>
      </c>
      <c r="K18" s="50">
        <f>CEILING(PRODUCT(SUM(K17)/2.5)*0.25,0.1)</f>
        <v>0</v>
      </c>
      <c r="N18" s="52" t="s">
        <v>82</v>
      </c>
      <c r="O18" s="76"/>
    </row>
    <row r="19" spans="1:24" ht="15.75" thickBot="1" x14ac:dyDescent="0.3">
      <c r="A19" s="21" t="str">
        <f>IF(Calculations!$C$9=0,"","-SCHEDULES:")</f>
        <v/>
      </c>
      <c r="B19" s="49" t="str">
        <f>IF(Calculations!$C$9=0," ",Calculations!$C$9)</f>
        <v xml:space="preserve"> </v>
      </c>
      <c r="D19" s="21" t="str">
        <f>IF(Calculations!$C$9+Calculations!$E$9+Calculations!$G$9=0,"","-SCHEDULES:")</f>
        <v/>
      </c>
      <c r="E19" s="49" t="str">
        <f>IF(Calculations!$C$9+Calculations!$E$9+Calculations!$G$9=0," ",(Calculations!$C$9+Calculations!$E$9+Calculations!$G$9))</f>
        <v xml:space="preserve"> </v>
      </c>
      <c r="F19" s="2"/>
      <c r="G19" s="21" t="str">
        <f>IF(Calculations!$C$9+Calculations!$E$9+Calculations!$G$9=0,"","-SCHEDULES:")</f>
        <v/>
      </c>
      <c r="H19" s="49" t="str">
        <f>IF(Calculations!$C$9+Calculations!$E$9+Calculations!$G$9=0," ",(Calculations!$C$9+Calculations!$E$9+Calculations!$G$9))</f>
        <v xml:space="preserve"> </v>
      </c>
      <c r="J19" s="32" t="s">
        <v>14</v>
      </c>
      <c r="K19" s="45">
        <f>CEILING(SUM(K15:K18),0.25)</f>
        <v>0.25</v>
      </c>
      <c r="N19" s="52" t="s">
        <v>83</v>
      </c>
      <c r="O19" s="76"/>
      <c r="R19" s="57"/>
    </row>
    <row r="20" spans="1:24" ht="16.5" thickTop="1" thickBot="1" x14ac:dyDescent="0.3">
      <c r="A20" s="21" t="s">
        <v>9</v>
      </c>
      <c r="B20" s="50">
        <f>IF(SUM(B16:B18)&gt;=12,1,IF(SUM(B16:B18)&gt;=4,0.5,0.25))</f>
        <v>0.25</v>
      </c>
      <c r="D20" s="21" t="s">
        <v>10</v>
      </c>
      <c r="E20" s="49">
        <f>IF($F$9&gt;0,$F$9,($E$9*$E$10)/60)</f>
        <v>0</v>
      </c>
      <c r="F20" s="2"/>
      <c r="G20" s="22" t="str">
        <f>IF(H20=0,"","-FLUFF")</f>
        <v>-FLUFF</v>
      </c>
      <c r="H20" s="50">
        <f>CEILING(PRODUCT(SUM(H16,H17,H19)/5)*0.25,0.1)</f>
        <v>0.1</v>
      </c>
      <c r="I20" s="2"/>
      <c r="J20" s="23"/>
      <c r="N20" s="52" t="s">
        <v>84</v>
      </c>
      <c r="O20" s="76"/>
    </row>
    <row r="21" spans="1:24" ht="15.75" thickBot="1" x14ac:dyDescent="0.3">
      <c r="A21" s="22" t="str">
        <f>IF(B21=0,"","-FLUFF")</f>
        <v/>
      </c>
      <c r="B21" s="50">
        <f>CEILING(PRODUCT(SUM(B18,B19)/2.5)*0.25,0.1)</f>
        <v>0</v>
      </c>
      <c r="D21" s="21" t="str">
        <f>IF(E11=0,"","-SOO:")</f>
        <v>-SOO:</v>
      </c>
      <c r="E21" s="49">
        <f>IF(E11=0,"",E11)</f>
        <v>0.5</v>
      </c>
      <c r="F21" s="2"/>
      <c r="G21" s="32" t="s">
        <v>14</v>
      </c>
      <c r="H21" s="45">
        <f>CEILING(SUM(H16:H20),0.25)</f>
        <v>1</v>
      </c>
      <c r="J21" s="23"/>
      <c r="N21" s="52" t="s">
        <v>85</v>
      </c>
      <c r="O21" s="76"/>
    </row>
    <row r="22" spans="1:24" ht="15.75" thickBot="1" x14ac:dyDescent="0.3">
      <c r="A22" s="32" t="s">
        <v>14</v>
      </c>
      <c r="B22" s="45">
        <f>CEILING(SUM(B15:B21),0.25)</f>
        <v>1.25</v>
      </c>
      <c r="D22" s="21" t="s">
        <v>9</v>
      </c>
      <c r="E22" s="50">
        <f>IF(SUM(E16:E21)&gt;=12,1,IF(SUM(E16:E21)&gt;=4,0.5,0.25))</f>
        <v>0.25</v>
      </c>
      <c r="F22" s="2"/>
      <c r="G22" s="23"/>
      <c r="H22" s="44"/>
      <c r="J22" s="23"/>
      <c r="N22" s="52" t="s">
        <v>86</v>
      </c>
      <c r="O22" s="76"/>
    </row>
    <row r="23" spans="1:24" ht="16.5" thickTop="1" thickBot="1" x14ac:dyDescent="0.3">
      <c r="A23" s="23"/>
      <c r="B23" s="44"/>
      <c r="D23" s="22" t="str">
        <f>IF(E23=0,"","-FLUFF")</f>
        <v>-FLUFF</v>
      </c>
      <c r="E23" s="50">
        <f>CEILING(PRODUCT(SUM(E18,E20,E21)/2.5)*0.25,0.1)</f>
        <v>0.1</v>
      </c>
      <c r="F23" s="2"/>
      <c r="G23" s="24" t="s">
        <v>13</v>
      </c>
      <c r="H23" s="46">
        <f>IF($F$9&gt;0,"",($E$9))</f>
        <v>0</v>
      </c>
      <c r="I23" s="2"/>
      <c r="J23" s="23"/>
      <c r="N23" s="52" t="s">
        <v>87</v>
      </c>
      <c r="O23" s="76"/>
    </row>
    <row r="24" spans="1:24" ht="15.75" thickBot="1" x14ac:dyDescent="0.3">
      <c r="A24" s="24" t="s">
        <v>11</v>
      </c>
      <c r="B24" s="46">
        <f>IF($F$3&gt;0,"",($E$3))</f>
        <v>0</v>
      </c>
      <c r="D24" s="32" t="s">
        <v>14</v>
      </c>
      <c r="E24" s="45">
        <f>CEILING(SUM(E16:E23),0.25)</f>
        <v>2</v>
      </c>
      <c r="F24" s="2"/>
      <c r="G24" s="22" t="s">
        <v>12</v>
      </c>
      <c r="H24" s="47">
        <f>IF($F$9&gt;0,"",($E$10))</f>
        <v>2</v>
      </c>
      <c r="I24" s="2"/>
      <c r="J24" s="23"/>
      <c r="N24" s="52" t="s">
        <v>88</v>
      </c>
      <c r="O24" s="76"/>
    </row>
    <row r="25" spans="1:24" ht="16.5" thickTop="1" thickBot="1" x14ac:dyDescent="0.3">
      <c r="A25" s="22" t="s">
        <v>12</v>
      </c>
      <c r="B25" s="47">
        <f>IF($F$3&gt;0,"",($E$4))</f>
        <v>2</v>
      </c>
      <c r="D25" s="23"/>
      <c r="E25" s="44"/>
      <c r="F25" s="2"/>
      <c r="G25" s="23"/>
      <c r="J25" s="23"/>
      <c r="N25" s="52" t="s">
        <v>89</v>
      </c>
      <c r="O25" s="76"/>
      <c r="X25" s="2"/>
    </row>
    <row r="26" spans="1:24" x14ac:dyDescent="0.25">
      <c r="A26" s="23"/>
      <c r="D26" s="24" t="s">
        <v>11</v>
      </c>
      <c r="E26" s="46">
        <f>IF($F$3&gt;0,"",($E$3))</f>
        <v>0</v>
      </c>
      <c r="F26" s="2"/>
      <c r="G26" s="23"/>
      <c r="J26" s="23"/>
      <c r="N26" s="52" t="s">
        <v>90</v>
      </c>
      <c r="O26" s="76"/>
      <c r="X26" s="2"/>
    </row>
    <row r="27" spans="1:24" x14ac:dyDescent="0.25">
      <c r="A27" s="23"/>
      <c r="D27" s="21" t="s">
        <v>12</v>
      </c>
      <c r="E27" s="48">
        <f>IF($F$3&gt;0,"",($E$4))</f>
        <v>2</v>
      </c>
      <c r="F27" s="2"/>
      <c r="G27" s="23"/>
      <c r="J27" s="23"/>
      <c r="N27" s="52" t="s">
        <v>91</v>
      </c>
      <c r="O27" s="76"/>
      <c r="X27" s="2"/>
    </row>
    <row r="28" spans="1:24" x14ac:dyDescent="0.25">
      <c r="A28" s="23"/>
      <c r="D28" s="23"/>
      <c r="E28" s="48"/>
      <c r="F28" s="2"/>
      <c r="G28" s="23"/>
      <c r="J28" s="23"/>
      <c r="N28" s="52" t="s">
        <v>92</v>
      </c>
      <c r="O28" s="76"/>
      <c r="X28" s="2"/>
    </row>
    <row r="29" spans="1:24" x14ac:dyDescent="0.25">
      <c r="A29" s="23"/>
      <c r="D29" s="21" t="s">
        <v>13</v>
      </c>
      <c r="E29" s="48">
        <f>IF($F$9&gt;0,"",($E$9))</f>
        <v>0</v>
      </c>
      <c r="F29" s="2"/>
      <c r="G29" s="23"/>
      <c r="J29" s="23"/>
      <c r="N29" s="52" t="s">
        <v>93</v>
      </c>
      <c r="O29" s="76"/>
      <c r="X29" s="2"/>
    </row>
    <row r="30" spans="1:24" ht="15.75" thickBot="1" x14ac:dyDescent="0.3">
      <c r="A30" s="23"/>
      <c r="D30" s="22" t="s">
        <v>12</v>
      </c>
      <c r="E30" s="47">
        <f>IF($F$9&gt;0,"",($E$10))</f>
        <v>2</v>
      </c>
      <c r="F30" s="2"/>
      <c r="G30" s="23"/>
      <c r="J30" s="23"/>
      <c r="N30" t="s">
        <v>34</v>
      </c>
      <c r="O30" s="54">
        <f>SUM(O2:O29)</f>
        <v>0</v>
      </c>
      <c r="X30" s="2"/>
    </row>
    <row r="31" spans="1:24" x14ac:dyDescent="0.25">
      <c r="A31" s="23"/>
      <c r="D31" s="23"/>
      <c r="F31" s="2"/>
      <c r="G31" s="23"/>
      <c r="J31" s="23"/>
      <c r="X31" s="2"/>
    </row>
    <row r="32" spans="1:24" x14ac:dyDescent="0.25">
      <c r="X32" s="2"/>
    </row>
    <row r="33" spans="1:24" x14ac:dyDescent="0.25">
      <c r="X33" s="2"/>
    </row>
    <row r="34" spans="1:24" x14ac:dyDescent="0.25">
      <c r="X34" s="2"/>
    </row>
    <row r="35" spans="1:24" x14ac:dyDescent="0.25">
      <c r="A35" s="8" t="s">
        <v>99</v>
      </c>
      <c r="X35" s="2"/>
    </row>
    <row r="36" spans="1:24" x14ac:dyDescent="0.25">
      <c r="A36" t="s">
        <v>96</v>
      </c>
      <c r="X36" s="2"/>
    </row>
    <row r="37" spans="1:24" x14ac:dyDescent="0.25">
      <c r="A37" t="s">
        <v>97</v>
      </c>
      <c r="X37" s="2"/>
    </row>
    <row r="38" spans="1:24" x14ac:dyDescent="0.25">
      <c r="A38" t="s">
        <v>102</v>
      </c>
      <c r="X38" s="2"/>
    </row>
    <row r="39" spans="1:24" x14ac:dyDescent="0.25">
      <c r="A39" t="s">
        <v>100</v>
      </c>
      <c r="X39" s="2"/>
    </row>
    <row r="40" spans="1:24" x14ac:dyDescent="0.25">
      <c r="A40" t="s">
        <v>101</v>
      </c>
    </row>
    <row r="41" spans="1:24" x14ac:dyDescent="0.25">
      <c r="A41" t="s">
        <v>103</v>
      </c>
    </row>
  </sheetData>
  <protectedRanges>
    <protectedRange algorithmName="SHA-512" hashValue="9wg/12hBcRdrZRkAXib5OZyRkqM4Csw5gTFlipik8ElnejJ5T+AyONfcRz2mPpdTTN5kxp7ozyr7IQ5MciPpug==" saltValue="22vxkVqe5Q00MI8nSDQ1rA==" spinCount="100000" sqref="G2 O4 M2:M12 C2:C9 B2 P6 B4 B6:B9 E2:F11" name="Project Info"/>
  </protectedRanges>
  <mergeCells count="3">
    <mergeCell ref="B1:C1"/>
    <mergeCell ref="G1:J1"/>
    <mergeCell ref="G2:J9"/>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Copy_Layouts">
                <anchor moveWithCells="1" sizeWithCells="1">
                  <from>
                    <xdr:col>0</xdr:col>
                    <xdr:colOff>0</xdr:colOff>
                    <xdr:row>12</xdr:row>
                    <xdr:rowOff>171450</xdr:rowOff>
                  </from>
                  <to>
                    <xdr:col>2</xdr:col>
                    <xdr:colOff>19050</xdr:colOff>
                    <xdr:row>14</xdr:row>
                    <xdr:rowOff>9525</xdr:rowOff>
                  </to>
                </anchor>
              </controlPr>
            </control>
          </mc:Choice>
        </mc:AlternateContent>
        <mc:AlternateContent xmlns:mc="http://schemas.openxmlformats.org/markup-compatibility/2006">
          <mc:Choice Requires="x14">
            <control shapeId="1033" r:id="rId5" name="Button 9">
              <controlPr defaultSize="0" print="0" autoFill="0" autoPict="0" macro="[0]!Copy_Preprogramming">
                <anchor moveWithCells="1" sizeWithCells="1">
                  <from>
                    <xdr:col>9</xdr:col>
                    <xdr:colOff>0</xdr:colOff>
                    <xdr:row>12</xdr:row>
                    <xdr:rowOff>171450</xdr:rowOff>
                  </from>
                  <to>
                    <xdr:col>11</xdr:col>
                    <xdr:colOff>57150</xdr:colOff>
                    <xdr:row>14</xdr:row>
                    <xdr:rowOff>9525</xdr:rowOff>
                  </to>
                </anchor>
              </controlPr>
            </control>
          </mc:Choice>
        </mc:AlternateContent>
        <mc:AlternateContent xmlns:mc="http://schemas.openxmlformats.org/markup-compatibility/2006">
          <mc:Choice Requires="x14">
            <control shapeId="1034" r:id="rId6" name="Button 10">
              <controlPr defaultSize="0" print="0" autoFill="0" autoPict="0" macro="[0]!CopyProjectNotes">
                <anchor moveWithCells="1" sizeWithCells="1">
                  <from>
                    <xdr:col>6</xdr:col>
                    <xdr:colOff>1266825</xdr:colOff>
                    <xdr:row>9</xdr:row>
                    <xdr:rowOff>9525</xdr:rowOff>
                  </from>
                  <to>
                    <xdr:col>9</xdr:col>
                    <xdr:colOff>228600</xdr:colOff>
                    <xdr:row>10</xdr:row>
                    <xdr:rowOff>28575</xdr:rowOff>
                  </to>
                </anchor>
              </controlPr>
            </control>
          </mc:Choice>
        </mc:AlternateContent>
        <mc:AlternateContent xmlns:mc="http://schemas.openxmlformats.org/markup-compatibility/2006">
          <mc:Choice Requires="x14">
            <control shapeId="1035" r:id="rId7" name="Button 11">
              <controlPr defaultSize="0" print="0" autoFill="0" autoPict="0" macro="[0]!CopyDasData">
                <anchor moveWithCells="1" sizeWithCells="1">
                  <from>
                    <xdr:col>1</xdr:col>
                    <xdr:colOff>19050</xdr:colOff>
                    <xdr:row>9</xdr:row>
                    <xdr:rowOff>0</xdr:rowOff>
                  </from>
                  <to>
                    <xdr:col>2</xdr:col>
                    <xdr:colOff>762000</xdr:colOff>
                    <xdr:row>11</xdr:row>
                    <xdr:rowOff>104775</xdr:rowOff>
                  </to>
                </anchor>
              </controlPr>
            </control>
          </mc:Choice>
        </mc:AlternateContent>
        <mc:AlternateContent xmlns:mc="http://schemas.openxmlformats.org/markup-compatibility/2006">
          <mc:Choice Requires="x14">
            <control shapeId="1036" r:id="rId8" name="Button 12">
              <controlPr defaultSize="0" print="0" autoFill="0" autoPict="0" macro="[0]!ResetForm">
                <anchor moveWithCells="1" sizeWithCells="1">
                  <from>
                    <xdr:col>0</xdr:col>
                    <xdr:colOff>0</xdr:colOff>
                    <xdr:row>9</xdr:row>
                    <xdr:rowOff>19050</xdr:rowOff>
                  </from>
                  <to>
                    <xdr:col>0</xdr:col>
                    <xdr:colOff>1314450</xdr:colOff>
                    <xdr:row>10</xdr:row>
                    <xdr:rowOff>200025</xdr:rowOff>
                  </to>
                </anchor>
              </controlPr>
            </control>
          </mc:Choice>
        </mc:AlternateContent>
        <mc:AlternateContent xmlns:mc="http://schemas.openxmlformats.org/markup-compatibility/2006">
          <mc:Choice Requires="x14">
            <control shapeId="1037" r:id="rId9" name="Button 13">
              <controlPr defaultSize="0" print="0" autoFill="0" autoPict="0" macro="[0]!HEADERINFO">
                <anchor moveWithCells="1" sizeWithCells="1">
                  <from>
                    <xdr:col>0</xdr:col>
                    <xdr:colOff>1323975</xdr:colOff>
                    <xdr:row>0</xdr:row>
                    <xdr:rowOff>0</xdr:rowOff>
                  </from>
                  <to>
                    <xdr:col>3</xdr:col>
                    <xdr:colOff>9525</xdr:colOff>
                    <xdr:row>1</xdr:row>
                    <xdr:rowOff>38100</xdr:rowOff>
                  </to>
                </anchor>
              </controlPr>
            </control>
          </mc:Choice>
        </mc:AlternateContent>
        <mc:AlternateContent xmlns:mc="http://schemas.openxmlformats.org/markup-compatibility/2006">
          <mc:Choice Requires="x14">
            <control shapeId="1032" r:id="rId10" name="Button 8">
              <controlPr defaultSize="0" print="0" autoFill="0" autoPict="0" macro="[0]!Copy_SubOnly">
                <anchor moveWithCells="1" sizeWithCells="1">
                  <from>
                    <xdr:col>6</xdr:col>
                    <xdr:colOff>0</xdr:colOff>
                    <xdr:row>12</xdr:row>
                    <xdr:rowOff>190500</xdr:rowOff>
                  </from>
                  <to>
                    <xdr:col>8</xdr:col>
                    <xdr:colOff>9525</xdr:colOff>
                    <xdr:row>14</xdr:row>
                    <xdr:rowOff>9525</xdr:rowOff>
                  </to>
                </anchor>
              </controlPr>
            </control>
          </mc:Choice>
        </mc:AlternateContent>
        <mc:AlternateContent xmlns:mc="http://schemas.openxmlformats.org/markup-compatibility/2006">
          <mc:Choice Requires="x14">
            <control shapeId="1029" r:id="rId11" name="Button 5">
              <controlPr defaultSize="0" print="0" autoFill="0" autoPict="0" macro="[0]!Copy_LayoutAndSub">
                <anchor moveWithCells="1" sizeWithCells="1">
                  <from>
                    <xdr:col>3</xdr:col>
                    <xdr:colOff>9525</xdr:colOff>
                    <xdr:row>12</xdr:row>
                    <xdr:rowOff>200025</xdr:rowOff>
                  </from>
                  <to>
                    <xdr:col>5</xdr:col>
                    <xdr:colOff>0</xdr:colOff>
                    <xdr:row>14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Calculations!$A$2:$A$5</xm:f>
          </x14:formula1>
          <xm:sqref>B8</xm:sqref>
        </x14:dataValidation>
        <x14:dataValidation type="list" allowBlank="1" showInputMessage="1" showErrorMessage="1" xr:uid="{00000000-0002-0000-0000-000001000000}">
          <x14:formula1>
            <xm:f>Calculations!$X$1:$X$2</xm:f>
          </x14:formula1>
          <xm:sqref>B7 M2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F1048576"/>
  <sheetViews>
    <sheetView topLeftCell="K7" zoomScaleNormal="100" workbookViewId="0">
      <selection activeCell="R8" sqref="R8"/>
    </sheetView>
  </sheetViews>
  <sheetFormatPr defaultRowHeight="15" x14ac:dyDescent="0.25"/>
  <cols>
    <col min="1" max="1" width="25.28515625" customWidth="1"/>
    <col min="2" max="2" width="9" bestFit="1" customWidth="1"/>
    <col min="3" max="3" width="3" bestFit="1" customWidth="1"/>
    <col min="4" max="4" width="13.140625" bestFit="1" customWidth="1"/>
    <col min="5" max="5" width="3" customWidth="1"/>
    <col min="6" max="6" width="7.5703125" bestFit="1" customWidth="1"/>
    <col min="7" max="7" width="3" customWidth="1"/>
    <col min="8" max="8" width="8.42578125" bestFit="1" customWidth="1"/>
    <col min="9" max="9" width="3" bestFit="1" customWidth="1"/>
    <col min="10" max="10" width="13.140625" bestFit="1" customWidth="1"/>
    <col min="11" max="11" width="3" bestFit="1" customWidth="1"/>
    <col min="12" max="12" width="7.5703125" bestFit="1" customWidth="1"/>
    <col min="13" max="13" width="3" bestFit="1" customWidth="1"/>
    <col min="18" max="18" width="14.140625" customWidth="1"/>
    <col min="19" max="19" width="27.140625" customWidth="1"/>
    <col min="20" max="20" width="13.28515625" customWidth="1"/>
    <col min="23" max="23" width="14.7109375" customWidth="1"/>
    <col min="24" max="24" width="12.85546875" customWidth="1"/>
    <col min="26" max="26" width="12.140625" customWidth="1"/>
    <col min="27" max="27" width="10.7109375" customWidth="1"/>
    <col min="28" max="28" width="24.7109375" customWidth="1"/>
    <col min="29" max="29" width="13" style="88" customWidth="1"/>
    <col min="30" max="30" width="10.7109375" customWidth="1"/>
    <col min="31" max="32" width="0.85546875" customWidth="1"/>
    <col min="33" max="33" width="10.7109375" customWidth="1"/>
    <col min="34" max="34" width="24.7109375" customWidth="1"/>
    <col min="35" max="35" width="10.7109375" style="88" customWidth="1"/>
    <col min="36" max="36" width="10.7109375" customWidth="1"/>
    <col min="37" max="38" width="0.85546875" customWidth="1"/>
    <col min="39" max="39" width="10.7109375" customWidth="1"/>
    <col min="40" max="40" width="24.7109375" customWidth="1"/>
    <col min="41" max="41" width="10.7109375" style="88" customWidth="1"/>
    <col min="42" max="42" width="10.7109375" customWidth="1"/>
    <col min="43" max="44" width="0.85546875" customWidth="1"/>
    <col min="45" max="45" width="10.7109375" customWidth="1"/>
    <col min="46" max="46" width="24.7109375" customWidth="1"/>
    <col min="47" max="47" width="10.7109375" style="88" customWidth="1"/>
    <col min="48" max="48" width="10.7109375" customWidth="1"/>
    <col min="49" max="50" width="0.85546875" customWidth="1"/>
    <col min="51" max="51" width="10.7109375" customWidth="1"/>
    <col min="52" max="52" width="24.7109375" customWidth="1"/>
    <col min="53" max="53" width="10.7109375" style="88" customWidth="1"/>
    <col min="54" max="54" width="10.7109375" customWidth="1"/>
    <col min="55" max="56" width="0.85546875" customWidth="1"/>
    <col min="57" max="57" width="10.7109375" customWidth="1"/>
    <col min="58" max="58" width="24.7109375" customWidth="1"/>
    <col min="59" max="59" width="10.7109375" style="88" customWidth="1"/>
    <col min="60" max="60" width="10.7109375" customWidth="1"/>
    <col min="61" max="62" width="0.85546875" customWidth="1"/>
    <col min="63" max="63" width="10.7109375" customWidth="1"/>
    <col min="64" max="64" width="24.7109375" customWidth="1"/>
    <col min="65" max="65" width="10.7109375" style="88" customWidth="1"/>
    <col min="66" max="66" width="10.7109375" customWidth="1"/>
    <col min="67" max="68" width="0.85546875" customWidth="1"/>
    <col min="69" max="69" width="10.7109375" customWidth="1"/>
    <col min="70" max="70" width="24.7109375" customWidth="1"/>
    <col min="71" max="71" width="10.7109375" style="88" customWidth="1"/>
    <col min="72" max="72" width="10.7109375" customWidth="1"/>
    <col min="73" max="74" width="0.85546875" customWidth="1"/>
    <col min="75" max="75" width="10.7109375" customWidth="1"/>
    <col min="76" max="76" width="24.7109375" customWidth="1"/>
    <col min="77" max="77" width="10.7109375" style="88" customWidth="1"/>
    <col min="78" max="78" width="10.7109375" customWidth="1"/>
    <col min="79" max="80" width="0.85546875" customWidth="1"/>
    <col min="81" max="81" width="10.7109375" customWidth="1"/>
    <col min="82" max="82" width="24.7109375" customWidth="1"/>
    <col min="83" max="83" width="10.7109375" style="88" customWidth="1"/>
    <col min="84" max="84" width="10.7109375" customWidth="1"/>
    <col min="85" max="86" width="0.85546875" customWidth="1"/>
    <col min="87" max="87" width="24.7109375" customWidth="1"/>
  </cols>
  <sheetData>
    <row r="1" spans="1:84" x14ac:dyDescent="0.25">
      <c r="A1" t="s">
        <v>94</v>
      </c>
      <c r="S1" s="64"/>
      <c r="W1" t="s">
        <v>53</v>
      </c>
      <c r="X1" t="s">
        <v>55</v>
      </c>
      <c r="Y1" t="str">
        <f>IF(TOOL!B7="Y",UPPER(Calculations!S11),PROPER(Calculations!S11))</f>
        <v>NO INFO</v>
      </c>
      <c r="AA1" t="s">
        <v>44</v>
      </c>
      <c r="AB1" s="14" t="str">
        <f>IF(RIGHT(TOOL!B2,3)="-0 ","N","Y")</f>
        <v>Y</v>
      </c>
    </row>
    <row r="2" spans="1:84" ht="15.75" thickBot="1" x14ac:dyDescent="0.3">
      <c r="A2" t="s">
        <v>0</v>
      </c>
      <c r="B2" s="103" t="s">
        <v>56</v>
      </c>
      <c r="C2" s="103"/>
      <c r="D2" s="103"/>
      <c r="E2" s="103"/>
      <c r="F2" s="103"/>
      <c r="G2" s="103"/>
      <c r="N2" s="17"/>
      <c r="O2" s="17"/>
      <c r="P2" s="2"/>
      <c r="X2" t="s">
        <v>54</v>
      </c>
      <c r="AA2" t="s">
        <v>45</v>
      </c>
      <c r="AB2" t="str">
        <f>IF(OR(TOOL!B8=TOOL!A14,TOOL!B8=TOOL!D14),IF(LEFT(AB1,1)="y","R","")&amp;"Q","")&amp;IF(TOOL!B8=TOOL!D14,"+","")&amp;IF(OR(TOOL!B8=TOOL!G14,TOOL!B8=TOOL!D14),IF(LEFT(AB1,1)="y","R","")&amp;"S","")&amp;IF(OR(TOOL!B8=TOOL!J14,TOOL!B8=TOOL!J14),IF(LEFT(AB1,1)="y","R","")&amp;"PP","")</f>
        <v/>
      </c>
    </row>
    <row r="3" spans="1:84" x14ac:dyDescent="0.25">
      <c r="A3" t="s">
        <v>2</v>
      </c>
      <c r="B3" s="12" t="s">
        <v>28</v>
      </c>
      <c r="C3" s="1"/>
      <c r="D3" s="12" t="s">
        <v>29</v>
      </c>
      <c r="E3" s="1"/>
      <c r="F3" s="12" t="s">
        <v>31</v>
      </c>
      <c r="G3" s="1"/>
      <c r="AA3" s="11" t="s">
        <v>37</v>
      </c>
      <c r="AB3" t="s">
        <v>36</v>
      </c>
      <c r="AC3" s="89" t="s">
        <v>39</v>
      </c>
      <c r="AD3" s="11" t="s">
        <v>35</v>
      </c>
      <c r="AE3" s="11"/>
      <c r="AF3" s="11"/>
      <c r="AG3" s="11" t="s">
        <v>37</v>
      </c>
      <c r="AH3" t="s">
        <v>36</v>
      </c>
      <c r="AI3" s="89" t="s">
        <v>39</v>
      </c>
      <c r="AJ3" s="11" t="s">
        <v>35</v>
      </c>
      <c r="AM3" s="11" t="s">
        <v>37</v>
      </c>
      <c r="AN3" t="s">
        <v>36</v>
      </c>
      <c r="AO3" s="89" t="s">
        <v>39</v>
      </c>
      <c r="AP3" s="11" t="s">
        <v>35</v>
      </c>
      <c r="AS3" s="11" t="s">
        <v>37</v>
      </c>
      <c r="AT3" t="s">
        <v>36</v>
      </c>
      <c r="AU3" s="89" t="s">
        <v>39</v>
      </c>
      <c r="AV3" s="11" t="s">
        <v>35</v>
      </c>
      <c r="AY3" s="11" t="s">
        <v>37</v>
      </c>
      <c r="AZ3" t="s">
        <v>36</v>
      </c>
      <c r="BA3" s="89" t="s">
        <v>39</v>
      </c>
      <c r="BB3" s="11" t="s">
        <v>35</v>
      </c>
      <c r="BE3" s="11" t="s">
        <v>37</v>
      </c>
      <c r="BF3" t="s">
        <v>36</v>
      </c>
      <c r="BG3" s="89" t="s">
        <v>39</v>
      </c>
      <c r="BH3" s="11" t="s">
        <v>35</v>
      </c>
      <c r="BK3" s="11" t="s">
        <v>37</v>
      </c>
      <c r="BL3" t="s">
        <v>36</v>
      </c>
      <c r="BM3" s="89" t="s">
        <v>39</v>
      </c>
      <c r="BN3" s="11" t="s">
        <v>35</v>
      </c>
      <c r="BQ3" s="11" t="s">
        <v>37</v>
      </c>
      <c r="BR3" t="s">
        <v>36</v>
      </c>
      <c r="BS3" s="89" t="s">
        <v>39</v>
      </c>
      <c r="BT3" s="11" t="s">
        <v>35</v>
      </c>
      <c r="BW3" s="11" t="s">
        <v>37</v>
      </c>
      <c r="BX3" t="s">
        <v>36</v>
      </c>
      <c r="BY3" s="89" t="s">
        <v>39</v>
      </c>
      <c r="BZ3" s="11" t="s">
        <v>35</v>
      </c>
      <c r="CC3" s="11" t="s">
        <v>37</v>
      </c>
      <c r="CD3" t="s">
        <v>36</v>
      </c>
      <c r="CE3" s="89" t="s">
        <v>39</v>
      </c>
      <c r="CF3" s="11" t="s">
        <v>35</v>
      </c>
    </row>
    <row r="4" spans="1:84" x14ac:dyDescent="0.25">
      <c r="A4" t="s">
        <v>3</v>
      </c>
      <c r="B4" s="4" t="s">
        <v>20</v>
      </c>
      <c r="C4" s="3">
        <v>45</v>
      </c>
      <c r="D4" s="4" t="s">
        <v>26</v>
      </c>
      <c r="E4" s="3">
        <v>20</v>
      </c>
      <c r="F4" s="4" t="s">
        <v>32</v>
      </c>
      <c r="G4" s="3">
        <v>10</v>
      </c>
      <c r="AA4" s="11">
        <f>TOOL!B2</f>
        <v>0</v>
      </c>
      <c r="AB4" t="str">
        <f>IF(TOOL!B9&lt;=4,"E",IF(TOOL!B9&lt;=7.5,"M","C")) &amp; " - " &amp;AB2 &amp;" " &amp; LEFT(Y1,20) &amp; " [" &amp;T15 &amp;"]"</f>
        <v>E -  NO INFO [ECD]</v>
      </c>
      <c r="AC4" s="89" t="str">
        <f>IF(T14&gt;T13,S13,S14)</f>
        <v/>
      </c>
      <c r="AD4" s="11">
        <f>IF(TOOL!B9&lt;7.5,TOOL!B9,7.5)</f>
        <v>0</v>
      </c>
      <c r="AG4" s="11" t="str">
        <f>IF(TOOL!$B$9&gt;7.5,AA4,"")</f>
        <v/>
      </c>
      <c r="AH4" t="str">
        <f>IF(TOOL!$B$9&gt;7.5,AB4,"")</f>
        <v/>
      </c>
      <c r="AI4" s="89" t="str">
        <f>IF(TOOL!$B$9&gt;7.5,AC4,"")</f>
        <v/>
      </c>
      <c r="AJ4" s="11" t="str">
        <f>IF(TOOL!$B$9&gt;7.5,IF(TOOL!$B$9-7.5&gt;7.5,7.5,TOOL!$B$9-7.5),"")</f>
        <v/>
      </c>
      <c r="AM4" s="11" t="str">
        <f>IF(TOOL!$B$9&gt;15,AG4,"")</f>
        <v/>
      </c>
      <c r="AN4" t="str">
        <f>IF(TOOL!$B$9&gt;15,AH4,"")</f>
        <v/>
      </c>
      <c r="AO4" s="89" t="str">
        <f>IF(TOOL!$B$9&gt;15,AI4,"")</f>
        <v/>
      </c>
      <c r="AP4" s="11" t="str">
        <f>IF(TOOL!$B$9&gt;15,IF(TOOL!$B$9-15&gt;7.5,7.5,TOOL!$B$9-15),"")</f>
        <v/>
      </c>
      <c r="AS4" s="11" t="str">
        <f>IF(TOOL!$B$9&gt;22.5,AM4,"")</f>
        <v/>
      </c>
      <c r="AT4" t="str">
        <f>IF(TOOL!$B$9&gt;22.5,AN4,"")</f>
        <v/>
      </c>
      <c r="AU4" s="89" t="str">
        <f>IF(TOOL!$B$9&gt;22.5,AO4,"")</f>
        <v/>
      </c>
      <c r="AV4" s="11" t="str">
        <f>IF(TOOL!$B$9&gt;22.5,IF(TOOL!$B$9-22.5&gt;7.5,7.5,TOOL!$B$9-22.5),"")</f>
        <v/>
      </c>
      <c r="AY4" s="11" t="str">
        <f>IF(TOOL!$B$9&gt;30,AS4,"")</f>
        <v/>
      </c>
      <c r="AZ4" t="str">
        <f>IF(TOOL!$B$9&gt;30,AT4,"")</f>
        <v/>
      </c>
      <c r="BA4" s="89" t="str">
        <f>IF(TOOL!$B$9&gt;30,AU4,"")</f>
        <v/>
      </c>
      <c r="BB4" s="11" t="str">
        <f>IF(TOOL!$B$9&gt;30,IF(TOOL!$B$9-30&gt;7.5,7.5,TOOL!$B$9-30),"")</f>
        <v/>
      </c>
      <c r="BE4" s="11" t="str">
        <f>IF(TOOL!$B$9&gt;37.5,AY4,"")</f>
        <v/>
      </c>
      <c r="BF4" t="str">
        <f>IF(TOOL!$B$9&gt;37.5,AZ4,"")</f>
        <v/>
      </c>
      <c r="BG4" s="89" t="str">
        <f>IF(TOOL!$B$9&gt;37.5,BA4,"")</f>
        <v/>
      </c>
      <c r="BH4" s="11" t="str">
        <f>IF(TOOL!$B$9&gt;37.5,IF(TOOL!$B$9-37.5&gt;7.5,7.5,TOOL!$B$9-37.5),"")</f>
        <v/>
      </c>
      <c r="BK4" s="11" t="str">
        <f>IF(TOOL!$B$9&gt;45,BE4,"")</f>
        <v/>
      </c>
      <c r="BL4" t="str">
        <f>IF(TOOL!$B$9&gt;45,BF4,"")</f>
        <v/>
      </c>
      <c r="BM4" s="89" t="str">
        <f>IF(TOOL!$B$9&gt;45,BG4,"")</f>
        <v/>
      </c>
      <c r="BN4" s="11" t="str">
        <f>IF(TOOL!$B$9&gt;45,IF(TOOL!$B$9-45&gt;7.5,7.5,TOOL!$B$9-45),"")</f>
        <v/>
      </c>
      <c r="BQ4" s="11" t="str">
        <f>IF(TOOL!$B$9&gt;52.5,BK4,"")</f>
        <v/>
      </c>
      <c r="BR4" t="str">
        <f>IF(TOOL!$B$9&gt;52.5,BL4,"")</f>
        <v/>
      </c>
      <c r="BS4" s="89" t="str">
        <f>IF(TOOL!$B$9&gt;52.5,BM4,"")</f>
        <v/>
      </c>
      <c r="BT4" s="11" t="str">
        <f>IF(TOOL!$B$9&gt;52.5,IF(TOOL!$B$9-52.5&gt;7.5,7.5,TOOL!$B$9-52.5),"")</f>
        <v/>
      </c>
      <c r="BW4" s="11" t="str">
        <f>IF(TOOL!$B$9&gt;60,BQ4,"")</f>
        <v/>
      </c>
      <c r="BX4" t="str">
        <f>IF(TOOL!$B$9&gt;60,BR4,"")</f>
        <v/>
      </c>
      <c r="BY4" s="89" t="str">
        <f>IF(TOOL!$B$9&gt;60,BS4,"")</f>
        <v/>
      </c>
      <c r="BZ4" s="11" t="str">
        <f>IF(TOOL!$B$9&gt;60,IF(TOOL!$B$9-60&gt;7.5,7.5,TOOL!$B$9-60),"")</f>
        <v/>
      </c>
      <c r="CC4" s="11" t="str">
        <f>IF(TOOL!$B$9&gt;67.5,BW4,"")</f>
        <v/>
      </c>
      <c r="CD4" t="str">
        <f>IF(TOOL!$B$9&gt;67.5,BX4,"")</f>
        <v/>
      </c>
      <c r="CE4" s="89" t="str">
        <f>IF(TOOL!$B$9&gt;67.5,BY4,"")</f>
        <v/>
      </c>
      <c r="CF4" s="11" t="str">
        <f>IF(TOOL!$B$9&gt;67.5,IF(TOOL!$B$9-67.5&gt;7.5,7.5,TOOL!$B$9-67.5),"")</f>
        <v/>
      </c>
    </row>
    <row r="5" spans="1:84" x14ac:dyDescent="0.25">
      <c r="A5" t="s">
        <v>46</v>
      </c>
      <c r="B5" s="4" t="s">
        <v>21</v>
      </c>
      <c r="C5" s="3">
        <v>30</v>
      </c>
      <c r="D5" s="4" t="s">
        <v>24</v>
      </c>
      <c r="E5" s="3">
        <v>10</v>
      </c>
      <c r="F5" s="4" t="s">
        <v>33</v>
      </c>
      <c r="G5" s="3">
        <v>15</v>
      </c>
      <c r="AD5" t="str">
        <f>IF(AD4&gt;0,"","Copied")</f>
        <v>Copied</v>
      </c>
      <c r="AJ5" t="str">
        <f>IF(AJ4&gt;0,"","Copied")</f>
        <v/>
      </c>
      <c r="AP5" t="str">
        <f>IF(AP4&gt;0,"","Copied")</f>
        <v/>
      </c>
      <c r="AV5" t="str">
        <f>IF(AV4&gt;0,"","Copied")</f>
        <v/>
      </c>
      <c r="BB5" t="str">
        <f>IF(BB4&gt;0,"","Copied")</f>
        <v/>
      </c>
      <c r="BH5" t="str">
        <f>IF(BH4&gt;0,"","Copied")</f>
        <v/>
      </c>
      <c r="BN5" t="str">
        <f>IF(BN4&gt;0,"","Copied")</f>
        <v/>
      </c>
      <c r="BT5" t="str">
        <f>IF(BT4&gt;0,"","Copied")</f>
        <v/>
      </c>
      <c r="BZ5" t="str">
        <f>IF(BZ4&gt;0,"","Copied")</f>
        <v/>
      </c>
      <c r="CF5" t="str">
        <f>IF(CF4&gt;0,"","Copied")</f>
        <v/>
      </c>
    </row>
    <row r="6" spans="1:84" x14ac:dyDescent="0.25">
      <c r="B6" s="4" t="s">
        <v>22</v>
      </c>
      <c r="C6" s="3">
        <v>15</v>
      </c>
      <c r="D6" s="4" t="s">
        <v>23</v>
      </c>
      <c r="E6" s="3">
        <v>30</v>
      </c>
      <c r="F6" s="4"/>
      <c r="G6" s="3"/>
      <c r="P6" t="str">
        <f ca="1">IF(Calculations!S1=TODAY()+100,"","")</f>
        <v/>
      </c>
    </row>
    <row r="7" spans="1:84" x14ac:dyDescent="0.25">
      <c r="B7" s="4" t="s">
        <v>27</v>
      </c>
      <c r="C7" s="3"/>
      <c r="D7" s="4" t="s">
        <v>25</v>
      </c>
      <c r="E7" s="3">
        <v>3</v>
      </c>
      <c r="F7" s="4"/>
      <c r="G7" s="3"/>
      <c r="R7" s="64"/>
      <c r="S7" s="63"/>
      <c r="T7" s="58"/>
      <c r="U7" s="58"/>
    </row>
    <row r="8" spans="1:84" x14ac:dyDescent="0.25">
      <c r="B8" s="4"/>
      <c r="C8" s="3"/>
      <c r="D8" s="4" t="s">
        <v>30</v>
      </c>
      <c r="E8" s="3">
        <v>15</v>
      </c>
      <c r="F8" s="4"/>
      <c r="G8" s="3"/>
      <c r="R8" s="64"/>
      <c r="S8" s="69"/>
      <c r="T8" s="58"/>
      <c r="U8" s="58"/>
    </row>
    <row r="9" spans="1:84" ht="16.5" thickBot="1" x14ac:dyDescent="0.3">
      <c r="B9" s="10" t="s">
        <v>34</v>
      </c>
      <c r="C9" s="6">
        <f>IF(TOOL!M2="Y",(SUM((TOOL!M3*C4)+(TOOL!M4*C5)+(TOOL!M5*C6))/60),(SUM((TOOL!M3*C12)+(TOOL!M4*C13)+(TOOL!M5*C14))/60))</f>
        <v>0</v>
      </c>
      <c r="D9" s="10"/>
      <c r="E9" s="6">
        <f>IF(TOOL!M2="Y",CEILING(SUM((TOOL!M6*E4)+(E5*TOOL!M7)+(TOOL!M8*E6)+(E7*TOOL!M9)+(TOOL!M10*E8))/60,0.25),CEILING(SUM((TOOL!M6*E12)+(E13*TOOL!M7)+(TOOL!M8*E14)+(E7*TOOL!K7)+(TOOL!M10*E16))/60,0.25))</f>
        <v>0</v>
      </c>
      <c r="F9" s="10"/>
      <c r="G9" s="6">
        <f>IF(TOOL!M2="Y",CEILING(SUM((TOOL!M11*G4)+(TOOL!M12*G5))/60,0.25),CEILING(SUM((TOOL!M11*G12)+(TOOL!M12*G13))/60,0.25))</f>
        <v>0</v>
      </c>
      <c r="R9" s="2"/>
      <c r="S9" s="70"/>
      <c r="T9" s="71"/>
      <c r="U9" s="2"/>
      <c r="X9" s="65"/>
    </row>
    <row r="10" spans="1:84" ht="15.75" thickBot="1" x14ac:dyDescent="0.3">
      <c r="B10" s="103" t="s">
        <v>57</v>
      </c>
      <c r="C10" s="103"/>
      <c r="D10" s="103"/>
      <c r="E10" s="103"/>
      <c r="F10" s="103"/>
      <c r="G10" s="103"/>
      <c r="R10" s="2"/>
      <c r="S10" s="2"/>
      <c r="T10" s="2"/>
      <c r="U10" s="2"/>
      <c r="X10" s="64"/>
    </row>
    <row r="11" spans="1:84" x14ac:dyDescent="0.25">
      <c r="B11" s="12" t="s">
        <v>28</v>
      </c>
      <c r="C11" s="1"/>
      <c r="D11" s="12" t="s">
        <v>29</v>
      </c>
      <c r="E11" s="1"/>
      <c r="F11" s="12" t="s">
        <v>31</v>
      </c>
      <c r="G11" s="1"/>
      <c r="R11" s="25" t="s">
        <v>67</v>
      </c>
      <c r="S11" t="str">
        <f>IF(R6="","NO INFO",MID(R6,1,19)&amp;".")</f>
        <v>NO INFO</v>
      </c>
      <c r="X11" s="64"/>
    </row>
    <row r="12" spans="1:84" x14ac:dyDescent="0.25">
      <c r="B12" s="4" t="s">
        <v>20</v>
      </c>
      <c r="C12" s="3">
        <v>90</v>
      </c>
      <c r="D12" s="4" t="s">
        <v>26</v>
      </c>
      <c r="E12" s="3">
        <v>60</v>
      </c>
      <c r="F12" s="4" t="s">
        <v>32</v>
      </c>
      <c r="G12" s="3">
        <v>15</v>
      </c>
      <c r="R12" s="25" t="s">
        <v>66</v>
      </c>
      <c r="S12" s="62" t="str">
        <f>IF(R7&gt;0,RIGHT(R7,LEN(R7)-FIND("ECD: ",R7)-4),"")</f>
        <v/>
      </c>
      <c r="W12" s="64"/>
      <c r="X12" s="64"/>
    </row>
    <row r="13" spans="1:84" x14ac:dyDescent="0.25">
      <c r="B13" s="4" t="s">
        <v>21</v>
      </c>
      <c r="C13" s="3">
        <v>60</v>
      </c>
      <c r="D13" s="4" t="s">
        <v>24</v>
      </c>
      <c r="E13" s="3">
        <v>30</v>
      </c>
      <c r="F13" s="4" t="s">
        <v>33</v>
      </c>
      <c r="G13" s="3">
        <v>30</v>
      </c>
      <c r="R13" s="25" t="s">
        <v>69</v>
      </c>
      <c r="S13" s="72" t="str">
        <f>IF(S12&gt;"",(LEFT(S12,FIND("M",S12))),"")</f>
        <v/>
      </c>
      <c r="T13">
        <f>IF(S13="",0, VALUE(S13))</f>
        <v>0</v>
      </c>
      <c r="U13" s="58" t="s">
        <v>51</v>
      </c>
      <c r="X13" s="64"/>
    </row>
    <row r="14" spans="1:84" x14ac:dyDescent="0.25">
      <c r="B14" s="4" t="s">
        <v>22</v>
      </c>
      <c r="C14" s="3">
        <v>30</v>
      </c>
      <c r="D14" s="4" t="s">
        <v>23</v>
      </c>
      <c r="E14" s="3">
        <v>45</v>
      </c>
      <c r="F14" s="4"/>
      <c r="G14" s="3"/>
      <c r="R14" s="25" t="s">
        <v>68</v>
      </c>
      <c r="S14" s="69" t="str">
        <f>IF(R8&gt;0,IF(R8=0,(T13+1),R8),"")</f>
        <v/>
      </c>
      <c r="T14">
        <f>IF(S14="",0,VALUE(S14))</f>
        <v>0</v>
      </c>
      <c r="U14" s="58" t="s">
        <v>52</v>
      </c>
      <c r="X14" s="64"/>
    </row>
    <row r="15" spans="1:84" x14ac:dyDescent="0.25">
      <c r="B15" s="4" t="s">
        <v>27</v>
      </c>
      <c r="C15" s="3"/>
      <c r="D15" s="4" t="s">
        <v>25</v>
      </c>
      <c r="E15" s="3">
        <v>3</v>
      </c>
      <c r="F15" s="4"/>
      <c r="G15" s="3"/>
      <c r="S15" s="59" t="s">
        <v>65</v>
      </c>
      <c r="T15" s="60" t="str">
        <f>VLOOKUP(MIN(T13:T14),T13:U14,2,0)</f>
        <v>ECD</v>
      </c>
      <c r="U15" s="58"/>
      <c r="W15" s="58"/>
      <c r="X15" s="64"/>
    </row>
    <row r="16" spans="1:84" ht="15.75" thickBot="1" x14ac:dyDescent="0.3">
      <c r="B16" s="10"/>
      <c r="C16" s="6"/>
      <c r="D16" s="10" t="s">
        <v>30</v>
      </c>
      <c r="E16" s="6">
        <v>30</v>
      </c>
      <c r="F16" s="10"/>
      <c r="G16" s="6"/>
      <c r="X16" s="64"/>
    </row>
    <row r="17" spans="1:24" x14ac:dyDescent="0.25">
      <c r="X17" s="64"/>
    </row>
    <row r="18" spans="1:24" x14ac:dyDescent="0.25">
      <c r="X18" s="64"/>
    </row>
    <row r="19" spans="1:24" ht="15.75" x14ac:dyDescent="0.25">
      <c r="A19" s="65"/>
      <c r="B19" s="66"/>
      <c r="X19" s="64"/>
    </row>
    <row r="20" spans="1:24" x14ac:dyDescent="0.25">
      <c r="A20" s="64"/>
      <c r="B20" s="66"/>
      <c r="X20" s="64"/>
    </row>
    <row r="21" spans="1:24" x14ac:dyDescent="0.25">
      <c r="B21" s="66"/>
      <c r="X21" s="64"/>
    </row>
    <row r="22" spans="1:24" x14ac:dyDescent="0.25">
      <c r="B22" s="66"/>
      <c r="X22" s="64"/>
    </row>
    <row r="23" spans="1:24" x14ac:dyDescent="0.25">
      <c r="B23" s="66"/>
      <c r="X23" s="64"/>
    </row>
    <row r="24" spans="1:24" x14ac:dyDescent="0.25">
      <c r="B24" s="66"/>
      <c r="X24" s="64"/>
    </row>
    <row r="25" spans="1:24" x14ac:dyDescent="0.25">
      <c r="X25" s="64"/>
    </row>
    <row r="26" spans="1:24" x14ac:dyDescent="0.25">
      <c r="X26" s="64"/>
    </row>
    <row r="27" spans="1:24" x14ac:dyDescent="0.25">
      <c r="X27" s="64"/>
    </row>
    <row r="28" spans="1:24" x14ac:dyDescent="0.25">
      <c r="X28" s="64"/>
    </row>
    <row r="29" spans="1:24" x14ac:dyDescent="0.25">
      <c r="A29" s="64"/>
      <c r="X29" s="64"/>
    </row>
    <row r="30" spans="1:24" x14ac:dyDescent="0.25">
      <c r="A30" s="64"/>
      <c r="X30" s="64"/>
    </row>
    <row r="31" spans="1:24" x14ac:dyDescent="0.25">
      <c r="A31" s="64"/>
      <c r="X31" s="64"/>
    </row>
    <row r="32" spans="1:24" x14ac:dyDescent="0.25">
      <c r="A32" s="64"/>
      <c r="X32" s="64"/>
    </row>
    <row r="33" spans="1:24" x14ac:dyDescent="0.25">
      <c r="A33" s="64"/>
      <c r="X33" s="64"/>
    </row>
    <row r="34" spans="1:24" x14ac:dyDescent="0.25">
      <c r="A34" s="64"/>
      <c r="X34" s="64"/>
    </row>
    <row r="35" spans="1:24" x14ac:dyDescent="0.25">
      <c r="A35" s="64"/>
      <c r="X35" s="64"/>
    </row>
    <row r="36" spans="1:24" x14ac:dyDescent="0.25">
      <c r="A36" s="64"/>
      <c r="X36" s="64"/>
    </row>
    <row r="37" spans="1:24" x14ac:dyDescent="0.25">
      <c r="A37" s="64"/>
      <c r="X37" s="64"/>
    </row>
    <row r="38" spans="1:24" x14ac:dyDescent="0.25">
      <c r="A38" s="64"/>
      <c r="X38" s="64"/>
    </row>
    <row r="39" spans="1:24" x14ac:dyDescent="0.25">
      <c r="A39" s="64"/>
      <c r="X39" s="64"/>
    </row>
    <row r="40" spans="1:24" x14ac:dyDescent="0.25">
      <c r="A40" s="64"/>
      <c r="X40" s="64"/>
    </row>
    <row r="41" spans="1:24" x14ac:dyDescent="0.25">
      <c r="A41" s="64"/>
      <c r="X41" s="64"/>
    </row>
    <row r="42" spans="1:24" x14ac:dyDescent="0.25">
      <c r="A42" s="64"/>
      <c r="X42" s="64"/>
    </row>
    <row r="43" spans="1:24" x14ac:dyDescent="0.25">
      <c r="A43" s="64"/>
      <c r="X43" s="64"/>
    </row>
    <row r="44" spans="1:24" x14ac:dyDescent="0.25">
      <c r="A44" s="64"/>
      <c r="X44" s="64"/>
    </row>
    <row r="45" spans="1:24" x14ac:dyDescent="0.25">
      <c r="A45" s="64"/>
      <c r="X45" s="64"/>
    </row>
    <row r="46" spans="1:24" x14ac:dyDescent="0.25">
      <c r="A46" s="64"/>
      <c r="X46" s="64"/>
    </row>
    <row r="47" spans="1:24" x14ac:dyDescent="0.25">
      <c r="A47" s="64"/>
    </row>
    <row r="48" spans="1:24" x14ac:dyDescent="0.25">
      <c r="A48" s="64"/>
    </row>
    <row r="49" spans="1:1" x14ac:dyDescent="0.25">
      <c r="A49" s="64"/>
    </row>
    <row r="50" spans="1:1" x14ac:dyDescent="0.25">
      <c r="A50" s="64"/>
    </row>
    <row r="51" spans="1:1" x14ac:dyDescent="0.25">
      <c r="A51" s="64"/>
    </row>
    <row r="52" spans="1:1" x14ac:dyDescent="0.25">
      <c r="A52" s="64"/>
    </row>
    <row r="53" spans="1:1" x14ac:dyDescent="0.25">
      <c r="A53" s="64"/>
    </row>
    <row r="54" spans="1:1" x14ac:dyDescent="0.25">
      <c r="A54" s="64"/>
    </row>
    <row r="55" spans="1:1" x14ac:dyDescent="0.25">
      <c r="A55" s="64"/>
    </row>
    <row r="56" spans="1:1" x14ac:dyDescent="0.25">
      <c r="A56" s="64"/>
    </row>
    <row r="1048576" spans="24:24" x14ac:dyDescent="0.25">
      <c r="X1048576" s="64"/>
    </row>
  </sheetData>
  <sheetProtection selectLockedCells="1" selectUnlockedCells="1"/>
  <protectedRanges>
    <protectedRange algorithmName="SHA-512" hashValue="9wg/12hBcRdrZRkAXib5OZyRkqM4Csw5gTFlipik8ElnejJ5T+AyONfcRz2mPpdTTN5kxp7ozyr7IQ5MciPpug==" saltValue="22vxkVqe5Q00MI8nSDQ1rA==" spinCount="100000" sqref="S11" name="Project Info"/>
  </protectedRanges>
  <mergeCells count="2">
    <mergeCell ref="B2:G2"/>
    <mergeCell ref="B10:G10"/>
  </mergeCells>
  <conditionalFormatting sqref="C9:G9">
    <cfRule type="cellIs" dxfId="0" priority="1" operator="greaterThan">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09BD5-DF5F-4B74-8CB8-6BF72D6BF469}">
  <sheetPr codeName="Sheet3"/>
  <dimension ref="A76:A513"/>
  <sheetViews>
    <sheetView topLeftCell="A49" workbookViewId="0">
      <selection sqref="A1:A1728"/>
    </sheetView>
  </sheetViews>
  <sheetFormatPr defaultRowHeight="15" x14ac:dyDescent="0.25"/>
  <sheetData>
    <row r="76" spans="1:1" x14ac:dyDescent="0.25">
      <c r="A76" s="68"/>
    </row>
    <row r="79" spans="1:1" x14ac:dyDescent="0.25">
      <c r="A79" s="68"/>
    </row>
    <row r="156" spans="1:1" x14ac:dyDescent="0.25">
      <c r="A156" s="64"/>
    </row>
    <row r="222" spans="1:1" x14ac:dyDescent="0.25">
      <c r="A222" t="s">
        <v>104</v>
      </c>
    </row>
    <row r="257" spans="1:1" x14ac:dyDescent="0.25">
      <c r="A257" t="s">
        <v>106</v>
      </c>
    </row>
    <row r="309" spans="1:1" x14ac:dyDescent="0.25">
      <c r="A309" t="s">
        <v>105</v>
      </c>
    </row>
    <row r="312" spans="1:1" x14ac:dyDescent="0.25">
      <c r="A312" t="s">
        <v>105</v>
      </c>
    </row>
    <row r="315" spans="1:1" x14ac:dyDescent="0.25">
      <c r="A315" t="s">
        <v>105</v>
      </c>
    </row>
    <row r="318" spans="1:1" x14ac:dyDescent="0.25">
      <c r="A318" t="s">
        <v>105</v>
      </c>
    </row>
    <row r="321" spans="1:1" x14ac:dyDescent="0.25">
      <c r="A321" t="s">
        <v>105</v>
      </c>
    </row>
    <row r="324" spans="1:1" x14ac:dyDescent="0.25">
      <c r="A324" t="s">
        <v>105</v>
      </c>
    </row>
    <row r="327" spans="1:1" x14ac:dyDescent="0.25">
      <c r="A327" t="s">
        <v>105</v>
      </c>
    </row>
    <row r="383" spans="1:1" x14ac:dyDescent="0.25">
      <c r="A383" t="s">
        <v>105</v>
      </c>
    </row>
    <row r="386" spans="1:1" x14ac:dyDescent="0.25">
      <c r="A386" t="s">
        <v>105</v>
      </c>
    </row>
    <row r="389" spans="1:1" x14ac:dyDescent="0.25">
      <c r="A389" t="s">
        <v>105</v>
      </c>
    </row>
    <row r="392" spans="1:1" x14ac:dyDescent="0.25">
      <c r="A392" t="s">
        <v>107</v>
      </c>
    </row>
    <row r="393" spans="1:1" x14ac:dyDescent="0.25">
      <c r="A393" t="s">
        <v>107</v>
      </c>
    </row>
    <row r="394" spans="1:1" x14ac:dyDescent="0.25">
      <c r="A394" t="s">
        <v>107</v>
      </c>
    </row>
    <row r="395" spans="1:1" x14ac:dyDescent="0.25">
      <c r="A395" t="s">
        <v>107</v>
      </c>
    </row>
    <row r="396" spans="1:1" x14ac:dyDescent="0.25">
      <c r="A396" t="s">
        <v>107</v>
      </c>
    </row>
    <row r="397" spans="1:1" x14ac:dyDescent="0.25">
      <c r="A397" t="s">
        <v>107</v>
      </c>
    </row>
    <row r="398" spans="1:1" x14ac:dyDescent="0.25">
      <c r="A398" t="s">
        <v>107</v>
      </c>
    </row>
    <row r="399" spans="1:1" x14ac:dyDescent="0.25">
      <c r="A399" t="s">
        <v>107</v>
      </c>
    </row>
    <row r="400" spans="1:1" x14ac:dyDescent="0.25">
      <c r="A400" t="s">
        <v>107</v>
      </c>
    </row>
    <row r="401" spans="1:1" x14ac:dyDescent="0.25">
      <c r="A401" t="s">
        <v>107</v>
      </c>
    </row>
    <row r="495" spans="1:1" x14ac:dyDescent="0.25">
      <c r="A495" t="s">
        <v>105</v>
      </c>
    </row>
    <row r="498" spans="1:1" x14ac:dyDescent="0.25">
      <c r="A498" t="s">
        <v>105</v>
      </c>
    </row>
    <row r="501" spans="1:1" x14ac:dyDescent="0.25">
      <c r="A501" t="s">
        <v>105</v>
      </c>
    </row>
    <row r="504" spans="1:1" x14ac:dyDescent="0.25">
      <c r="A504" t="s">
        <v>105</v>
      </c>
    </row>
    <row r="507" spans="1:1" x14ac:dyDescent="0.25">
      <c r="A507" t="s">
        <v>105</v>
      </c>
    </row>
    <row r="510" spans="1:1" x14ac:dyDescent="0.25">
      <c r="A510" t="s">
        <v>105</v>
      </c>
    </row>
    <row r="513" spans="1:1" x14ac:dyDescent="0.25">
      <c r="A513" t="s">
        <v>105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8E020374DBB02418ED5E4D13BD10AA0" ma:contentTypeVersion="10" ma:contentTypeDescription="Create a new document." ma:contentTypeScope="" ma:versionID="71042c4050d9b648b6af613d7f0788df">
  <xsd:schema xmlns:xsd="http://www.w3.org/2001/XMLSchema" xmlns:xs="http://www.w3.org/2001/XMLSchema" xmlns:p="http://schemas.microsoft.com/office/2006/metadata/properties" xmlns:ns2="9fc222ce-ccc3-4b8f-af17-3b6c023ed652" xmlns:ns3="02554beb-bcc8-43f6-bab6-7cdf5cedb95b" targetNamespace="http://schemas.microsoft.com/office/2006/metadata/properties" ma:root="true" ma:fieldsID="fbc4b83ce1463052b833853276482432" ns2:_="" ns3:_="">
    <xsd:import namespace="9fc222ce-ccc3-4b8f-af17-3b6c023ed652"/>
    <xsd:import namespace="02554beb-bcc8-43f6-bab6-7cdf5cedb95b"/>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AutoTags" minOccurs="0"/>
                <xsd:element ref="ns3:SharedWithUsers" minOccurs="0"/>
                <xsd:element ref="ns3:SharedWithDetails" minOccurs="0"/>
                <xsd:element ref="ns2:MediaServiceOCR"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c222ce-ccc3-4b8f-af17-3b6c023ed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2554beb-bcc8-43f6-bab6-7cdf5cedb95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43935DD-B449-43CA-9D0F-969B906AA2A5}"/>
</file>

<file path=customXml/itemProps2.xml><?xml version="1.0" encoding="utf-8"?>
<ds:datastoreItem xmlns:ds="http://schemas.openxmlformats.org/officeDocument/2006/customXml" ds:itemID="{C7BC4A83-5BF7-45BC-9BD4-37ABA2677ED1}"/>
</file>

<file path=customXml/itemProps3.xml><?xml version="1.0" encoding="utf-8"?>
<ds:datastoreItem xmlns:ds="http://schemas.openxmlformats.org/officeDocument/2006/customXml" ds:itemID="{5506C0DA-FE61-4A88-AE0E-3F7740F403F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TOOL</vt:lpstr>
      <vt:lpstr>Calculations</vt:lpstr>
      <vt:lpstr>Header Info</vt:lpstr>
      <vt:lpstr>TOOL!auditLogMenuItem</vt:lpstr>
      <vt:lpstr>TOOL!duplicateRequestMenuItem</vt:lpstr>
      <vt:lpstr>TOOL!messageMarkerMenuItem</vt:lpstr>
      <vt:lpstr>TOOL!pWebMenuItem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McManus, Aaron</dc:creator>
  <cp:lastModifiedBy>McManus, Aaron</cp:lastModifiedBy>
  <dcterms:created xsi:type="dcterms:W3CDTF">2017-10-25T17:57:16Z</dcterms:created>
  <dcterms:modified xsi:type="dcterms:W3CDTF">2019-01-15T21:58:20Z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0x01010018E020374DBB02418ED5E4D13BD10AA0</vt:lpwstr>
  </property>
</Properties>
</file>